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\Box\Projects\Quantum\"/>
    </mc:Choice>
  </mc:AlternateContent>
  <xr:revisionPtr revIDLastSave="0" documentId="13_ncr:1_{217E1D3D-4528-4AA7-BEDD-8D8D9991A2C1}" xr6:coauthVersionLast="46" xr6:coauthVersionMax="46" xr10:uidLastSave="{00000000-0000-0000-0000-000000000000}"/>
  <bookViews>
    <workbookView xWindow="19650" yWindow="6840" windowWidth="23925" windowHeight="16695" firstSheet="30" activeTab="30" xr2:uid="{00000000-000D-0000-FFFF-FFFF00000000}"/>
  </bookViews>
  <sheets>
    <sheet name="Private Utility" sheetId="1" state="veryHidden" r:id=""/>
    <sheet name="Financial" sheetId="2" state="veryHidden" r:id=""/>
    <sheet name="One Touch" sheetId="3" state="veryHidden" r:id=""/>
    <sheet name="aaa_Vanilla_Fns" sheetId="5" state="veryHidden" r:id=""/>
    <sheet name="Vanilla Entry and Return" sheetId="6" state="veryHidden" r:id=""/>
    <sheet name="Generic Option Pricer" sheetId="7" state="veryHidden" r:id=""/>
    <sheet name="Interpolation" sheetId="10" state="veryHidden" r:id=""/>
    <sheet name="Barrier At Start" sheetId="13" state="veryHidden" r:id=""/>
    <sheet name="Delayed Barrier" sheetId="14" state="veryHidden" r:id=""/>
    <sheet name="Delayed Barrier Utility" sheetId="15" state="veryHidden" r:id=""/>
    <sheet name="Window Barrier Utility" sheetId="16" state="veryHidden" r:id=""/>
    <sheet name="Forward Fns" sheetId="17" state="veryHidden" r:id=""/>
    <sheet name="DKO &amp; DKI" sheetId="18" state="veryHidden" r:id=""/>
    <sheet name="Digital Entry and Return" sheetId="19" state="veryHidden" r:id=""/>
    <sheet name="Digital Fns" sheetId="20" state="veryHidden" r:id=""/>
    <sheet name="No Touch" sheetId="21" state="veryHidden" r:id=""/>
    <sheet name="Instant One Touch" sheetId="22" state="veryHidden" r:id=""/>
    <sheet name="DOT Fns" sheetId="23" state="veryHidden" r:id=""/>
    <sheet name="DNT Fns" sheetId="24" state="veryHidden" r:id=""/>
    <sheet name="Basket Premium" sheetId="25" state="veryHidden" r:id=""/>
    <sheet name="EKIKO Fns" sheetId="26" state="veryHidden" r:id=""/>
    <sheet name="Single Barriers" sheetId="27" state="veryHidden" r:id=""/>
    <sheet name="Barrier At Start One Touches" sheetId="28" state="veryHidden" r:id=""/>
    <sheet name="Probability" sheetId="29" state="veryHidden" r:id=""/>
    <sheet name="CmpNewtonRaphsonBisection" sheetId="30" state="veryHidden" r:id=""/>
    <sheet name="Cost Of Carry Fns" sheetId="32" state="veryHidden" r:id=""/>
    <sheet name="Compound Fns" sheetId="33" state="veryHidden" r:id=""/>
    <sheet name="Spot Trader Functions" sheetId="34" state="veryHidden" r:id=""/>
    <sheet name="Tridiagonal Solver" sheetId="35" state="veryHidden" r:id=""/>
    <sheet name="Public Utility" sheetId="36" state="veryHidden" r:id=""/>
    <sheet name="vanilla" sheetId="50" r:id="rId1"/>
    <sheet name="volga example" sheetId="39" r:id="rId2"/>
    <sheet name="Sheet1" sheetId="38" r:id="rId3"/>
    <sheet name="ExoticsPricer - DNT" sheetId="43" r:id="rId4"/>
    <sheet name="ReutersMktData" sheetId="37" r:id="rId5"/>
    <sheet name="RKO" sheetId="42" r:id="rId6"/>
    <sheet name="hedged_RKO_centered" sheetId="41" r:id="rId7"/>
    <sheet name="hedged_RKO_broad" sheetId="48" r:id="rId8"/>
    <sheet name="BF" sheetId="44" r:id="rId9"/>
    <sheet name="RR" sheetId="45" r:id="rId10"/>
    <sheet name="RKO_RR" sheetId="46" r:id="rId11"/>
    <sheet name="RKO_BF" sheetId="47" r:id="rId12"/>
    <sheet name="here" sheetId="49" r:id="rId13"/>
  </sheets>
  <functionGroups builtInGroupCount="19"/>
  <definedNames>
    <definedName name="CurrencyTable">ReutersMktData!$B$3:$E$43</definedName>
    <definedName name="optionTable">ReutersMktData!$G$3:$H$12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0" i="50" l="1"/>
  <c r="P37" i="50"/>
  <c r="P36" i="50"/>
  <c r="P33" i="50"/>
  <c r="P25" i="50"/>
  <c r="P24" i="50"/>
  <c r="P23" i="50"/>
  <c r="P26" i="50" s="1"/>
  <c r="M40" i="50"/>
  <c r="M33" i="50"/>
  <c r="M37" i="50" s="1"/>
  <c r="M38" i="50" s="1"/>
  <c r="D59" i="50"/>
  <c r="E59" i="50"/>
  <c r="F59" i="50"/>
  <c r="G59" i="50"/>
  <c r="H59" i="50"/>
  <c r="I59" i="50"/>
  <c r="J59" i="50"/>
  <c r="C59" i="50"/>
  <c r="J51" i="50"/>
  <c r="J49" i="50"/>
  <c r="C48" i="50"/>
  <c r="D48" i="50" s="1"/>
  <c r="E48" i="50" s="1"/>
  <c r="F48" i="50" s="1"/>
  <c r="G48" i="50" s="1"/>
  <c r="H48" i="50" s="1"/>
  <c r="I48" i="50" s="1"/>
  <c r="J48" i="50" s="1"/>
  <c r="D51" i="50"/>
  <c r="E51" i="50"/>
  <c r="F51" i="50"/>
  <c r="G51" i="50"/>
  <c r="H51" i="50"/>
  <c r="I51" i="50"/>
  <c r="C51" i="50"/>
  <c r="D49" i="50"/>
  <c r="E49" i="50"/>
  <c r="F49" i="50"/>
  <c r="G49" i="50"/>
  <c r="H49" i="50"/>
  <c r="I49" i="50"/>
  <c r="C49" i="50"/>
  <c r="D34" i="50"/>
  <c r="C34" i="50"/>
  <c r="D56" i="50"/>
  <c r="J58" i="50"/>
  <c r="E56" i="50"/>
  <c r="G57" i="50"/>
  <c r="C58" i="50"/>
  <c r="C57" i="50"/>
  <c r="G58" i="50"/>
  <c r="E58" i="50"/>
  <c r="I56" i="50"/>
  <c r="F56" i="50"/>
  <c r="I57" i="50"/>
  <c r="C56" i="50"/>
  <c r="F58" i="50"/>
  <c r="J57" i="50"/>
  <c r="F57" i="50"/>
  <c r="E57" i="50"/>
  <c r="I58" i="50"/>
  <c r="H56" i="50"/>
  <c r="H57" i="50"/>
  <c r="J56" i="50"/>
  <c r="G56" i="50"/>
  <c r="H58" i="50"/>
  <c r="D57" i="50"/>
  <c r="D58" i="50"/>
  <c r="M27" i="50" a="1"/>
  <c r="P42" i="50" l="1"/>
  <c r="M35" i="50"/>
  <c r="P43" i="50"/>
  <c r="P45" i="50"/>
  <c r="P46" i="50" s="1"/>
  <c r="M27" i="50"/>
  <c r="J39" i="50"/>
  <c r="J38" i="50"/>
  <c r="J37" i="50"/>
  <c r="J36" i="50"/>
  <c r="J41" i="50"/>
  <c r="J40" i="50"/>
  <c r="C41" i="50"/>
  <c r="C37" i="50"/>
  <c r="C36" i="50"/>
  <c r="C38" i="50"/>
  <c r="C39" i="50"/>
  <c r="C40" i="50"/>
  <c r="I38" i="50"/>
  <c r="I37" i="50"/>
  <c r="I41" i="50"/>
  <c r="I36" i="50"/>
  <c r="I40" i="50"/>
  <c r="I39" i="50"/>
  <c r="H38" i="50"/>
  <c r="H36" i="50"/>
  <c r="H37" i="50"/>
  <c r="H41" i="50"/>
  <c r="H40" i="50"/>
  <c r="H39" i="50"/>
  <c r="F37" i="50"/>
  <c r="F41" i="50"/>
  <c r="F36" i="50"/>
  <c r="F40" i="50"/>
  <c r="F39" i="50"/>
  <c r="F38" i="50"/>
  <c r="E36" i="50"/>
  <c r="E40" i="50"/>
  <c r="E39" i="50"/>
  <c r="E38" i="50"/>
  <c r="E37" i="50"/>
  <c r="E41" i="50"/>
  <c r="G37" i="50"/>
  <c r="G41" i="50"/>
  <c r="G36" i="50"/>
  <c r="G40" i="50"/>
  <c r="G39" i="50"/>
  <c r="G38" i="50"/>
  <c r="D36" i="50"/>
  <c r="D40" i="50"/>
  <c r="D38" i="50"/>
  <c r="D39" i="50"/>
  <c r="D37" i="50"/>
  <c r="D41" i="50"/>
  <c r="M7" i="50" l="1"/>
  <c r="K7" i="50"/>
  <c r="L7" i="50"/>
  <c r="I7" i="50"/>
  <c r="J7" i="50"/>
  <c r="H7" i="50"/>
  <c r="G8" i="50"/>
  <c r="H8" i="50" s="1"/>
  <c r="M8" i="50" l="1"/>
  <c r="K8" i="50"/>
  <c r="L8" i="50"/>
  <c r="J8" i="50"/>
  <c r="I8" i="50"/>
  <c r="G9" i="50"/>
  <c r="M9" i="50" s="1"/>
  <c r="L9" i="50" l="1"/>
  <c r="K9" i="50"/>
  <c r="J9" i="50"/>
  <c r="I9" i="50"/>
  <c r="H9" i="50"/>
  <c r="G10" i="50"/>
  <c r="M10" i="50" s="1"/>
  <c r="L10" i="50" l="1"/>
  <c r="K10" i="50"/>
  <c r="J10" i="50"/>
  <c r="I10" i="50"/>
  <c r="H10" i="50"/>
  <c r="G11" i="50"/>
  <c r="M11" i="50" s="1"/>
  <c r="K11" i="50" l="1"/>
  <c r="J11" i="50"/>
  <c r="I11" i="50"/>
  <c r="G12" i="50"/>
  <c r="H11" i="50"/>
  <c r="K12" i="50" l="1"/>
  <c r="M12" i="50"/>
  <c r="J12" i="50"/>
  <c r="I12" i="50"/>
  <c r="G13" i="50"/>
  <c r="H12" i="50"/>
  <c r="K13" i="50" l="1"/>
  <c r="M13" i="50"/>
  <c r="J13" i="50"/>
  <c r="I13" i="50"/>
  <c r="H13" i="50"/>
  <c r="G14" i="50"/>
  <c r="K14" i="50" s="1"/>
  <c r="J14" i="50" l="1"/>
  <c r="I14" i="50"/>
  <c r="H14" i="50"/>
  <c r="G15" i="50"/>
  <c r="K15" i="50" s="1"/>
  <c r="J15" i="50" l="1"/>
  <c r="I15" i="50"/>
  <c r="H15" i="50"/>
  <c r="G16" i="50"/>
  <c r="K16" i="50" s="1"/>
  <c r="J16" i="50" l="1"/>
  <c r="I16" i="50"/>
  <c r="H16" i="50"/>
  <c r="G17" i="50"/>
  <c r="K17" i="50" l="1"/>
  <c r="G18" i="50"/>
  <c r="I17" i="50"/>
  <c r="H17" i="50"/>
  <c r="J17" i="50"/>
  <c r="H18" i="50" l="1"/>
  <c r="K18" i="50"/>
  <c r="J18" i="50"/>
  <c r="I18" i="50"/>
  <c r="G19" i="50"/>
  <c r="H19" i="50" l="1"/>
  <c r="K19" i="50"/>
  <c r="J19" i="50"/>
  <c r="I19" i="50"/>
  <c r="G20" i="50"/>
  <c r="I20" i="50" l="1"/>
  <c r="G21" i="50"/>
  <c r="H20" i="50"/>
  <c r="K20" i="50"/>
  <c r="J20" i="50"/>
  <c r="H21" i="50" l="1"/>
  <c r="K21" i="50"/>
  <c r="J21" i="50"/>
  <c r="I21" i="50"/>
  <c r="G22" i="50"/>
  <c r="K22" i="50" l="1"/>
  <c r="J22" i="50"/>
  <c r="I22" i="50"/>
  <c r="G23" i="50"/>
  <c r="H22" i="50"/>
  <c r="G24" i="50" l="1"/>
  <c r="H23" i="50"/>
  <c r="K23" i="50"/>
  <c r="J23" i="50"/>
  <c r="I23" i="50"/>
  <c r="H24" i="50" l="1"/>
  <c r="K24" i="50"/>
  <c r="J24" i="50"/>
  <c r="I24" i="50"/>
  <c r="G25" i="50"/>
  <c r="J25" i="50" l="1"/>
  <c r="I25" i="50"/>
  <c r="G26" i="50"/>
  <c r="H25" i="50"/>
  <c r="K25" i="50"/>
  <c r="H26" i="50" l="1"/>
  <c r="K26" i="50"/>
  <c r="J26" i="50"/>
  <c r="I26" i="50"/>
  <c r="G27" i="50"/>
  <c r="H27" i="50" l="1"/>
  <c r="K27" i="50"/>
  <c r="J27" i="50"/>
  <c r="I27" i="50"/>
  <c r="G28" i="50"/>
  <c r="I28" i="50" l="1"/>
  <c r="G29" i="50"/>
  <c r="H28" i="50"/>
  <c r="K28" i="50"/>
  <c r="J28" i="50"/>
  <c r="H29" i="50" l="1"/>
  <c r="K29" i="50"/>
  <c r="J29" i="50"/>
  <c r="I29" i="50"/>
  <c r="G30" i="50"/>
  <c r="K30" i="50" l="1"/>
  <c r="J30" i="50"/>
  <c r="I30" i="50"/>
  <c r="H30" i="50"/>
  <c r="C9" i="50" l="1"/>
  <c r="C5" i="50"/>
  <c r="D5" i="50" s="1"/>
  <c r="D4" i="50"/>
  <c r="C13" i="50"/>
  <c r="C14" i="50"/>
  <c r="C15" i="50"/>
  <c r="Q26" i="42" l="1"/>
  <c r="R54" i="42"/>
  <c r="R53" i="42"/>
  <c r="R52" i="42"/>
  <c r="R51" i="42"/>
  <c r="R44" i="42"/>
  <c r="T44" i="42"/>
  <c r="C44" i="49"/>
  <c r="D44" i="49" s="1"/>
  <c r="E44" i="49" s="1"/>
  <c r="F44" i="49" s="1"/>
  <c r="G44" i="49" s="1"/>
  <c r="H44" i="49" s="1"/>
  <c r="I44" i="49" s="1"/>
  <c r="J44" i="49" s="1"/>
  <c r="K44" i="49" s="1"/>
  <c r="L44" i="49" s="1"/>
  <c r="M44" i="49" s="1"/>
  <c r="N44" i="49" s="1"/>
  <c r="A29" i="49"/>
  <c r="A45" i="49" s="1"/>
  <c r="C28" i="49"/>
  <c r="D28" i="49" s="1"/>
  <c r="E28" i="49" s="1"/>
  <c r="F28" i="49" s="1"/>
  <c r="G28" i="49" s="1"/>
  <c r="H28" i="49" s="1"/>
  <c r="I28" i="49" s="1"/>
  <c r="J28" i="49" s="1"/>
  <c r="K28" i="49" s="1"/>
  <c r="L28" i="49" s="1"/>
  <c r="M28" i="49" s="1"/>
  <c r="N28" i="49" s="1"/>
  <c r="C12" i="49"/>
  <c r="D12" i="49" s="1"/>
  <c r="E12" i="49" s="1"/>
  <c r="F12" i="49" s="1"/>
  <c r="G12" i="49" s="1"/>
  <c r="H12" i="49" s="1"/>
  <c r="I12" i="49" s="1"/>
  <c r="J12" i="49" s="1"/>
  <c r="K12" i="49" s="1"/>
  <c r="L12" i="49" s="1"/>
  <c r="M12" i="49" s="1"/>
  <c r="N12" i="49" s="1"/>
  <c r="N52" i="49" s="1"/>
  <c r="B74" i="49"/>
  <c r="C68" i="49"/>
  <c r="D68" i="49" s="1"/>
  <c r="E68" i="49" s="1"/>
  <c r="F68" i="49" s="1"/>
  <c r="G68" i="49" s="1"/>
  <c r="H68" i="49" s="1"/>
  <c r="I68" i="49" s="1"/>
  <c r="J68" i="49" s="1"/>
  <c r="K68" i="49" s="1"/>
  <c r="L68" i="49" s="1"/>
  <c r="M68" i="49" s="1"/>
  <c r="N68" i="49" s="1"/>
  <c r="C40" i="49"/>
  <c r="D38" i="49"/>
  <c r="E38" i="49" s="1"/>
  <c r="F38" i="49" s="1"/>
  <c r="G38" i="49" s="1"/>
  <c r="H38" i="49" s="1"/>
  <c r="I38" i="49" s="1"/>
  <c r="J38" i="49" s="1"/>
  <c r="K38" i="49" s="1"/>
  <c r="L38" i="49" s="1"/>
  <c r="M38" i="49" s="1"/>
  <c r="N38" i="49" s="1"/>
  <c r="C24" i="49"/>
  <c r="C25" i="49" s="1"/>
  <c r="C22" i="49"/>
  <c r="D22" i="49" s="1"/>
  <c r="C9" i="49"/>
  <c r="D8" i="49"/>
  <c r="D24" i="49" s="1"/>
  <c r="D25" i="49" s="1"/>
  <c r="D6" i="49"/>
  <c r="E6" i="49" s="1"/>
  <c r="F6" i="49" s="1"/>
  <c r="G6" i="49" s="1"/>
  <c r="H6" i="49" s="1"/>
  <c r="I6" i="49" s="1"/>
  <c r="J6" i="49" s="1"/>
  <c r="K6" i="49" s="1"/>
  <c r="L6" i="49" s="1"/>
  <c r="M6" i="49" s="1"/>
  <c r="N6" i="49" s="1"/>
  <c r="C9" i="48"/>
  <c r="B74" i="48"/>
  <c r="C68" i="48"/>
  <c r="D68" i="48" s="1"/>
  <c r="E68" i="48" s="1"/>
  <c r="F68" i="48" s="1"/>
  <c r="G68" i="48" s="1"/>
  <c r="H68" i="48" s="1"/>
  <c r="I68" i="48" s="1"/>
  <c r="J68" i="48" s="1"/>
  <c r="K68" i="48" s="1"/>
  <c r="L68" i="48" s="1"/>
  <c r="M68" i="48" s="1"/>
  <c r="N68" i="48" s="1"/>
  <c r="C40" i="48"/>
  <c r="C52" i="48" s="1"/>
  <c r="D38" i="48"/>
  <c r="E38" i="48" s="1"/>
  <c r="F38" i="48" s="1"/>
  <c r="G38" i="48" s="1"/>
  <c r="H38" i="48" s="1"/>
  <c r="I38" i="48" s="1"/>
  <c r="J38" i="48" s="1"/>
  <c r="K38" i="48" s="1"/>
  <c r="L38" i="48" s="1"/>
  <c r="M38" i="48" s="1"/>
  <c r="N38" i="48" s="1"/>
  <c r="C24" i="48"/>
  <c r="C25" i="48" s="1"/>
  <c r="C22" i="48"/>
  <c r="C61" i="48" s="1"/>
  <c r="C12" i="48"/>
  <c r="D12" i="48" s="1"/>
  <c r="E12" i="48" s="1"/>
  <c r="F12" i="48" s="1"/>
  <c r="G12" i="48" s="1"/>
  <c r="H12" i="48" s="1"/>
  <c r="I12" i="48" s="1"/>
  <c r="J12" i="48" s="1"/>
  <c r="K12" i="48" s="1"/>
  <c r="L12" i="48" s="1"/>
  <c r="M12" i="48" s="1"/>
  <c r="N12" i="48" s="1"/>
  <c r="D8" i="48"/>
  <c r="E8" i="48" s="1"/>
  <c r="D6" i="48"/>
  <c r="E6" i="48" s="1"/>
  <c r="F6" i="48" s="1"/>
  <c r="G6" i="48" s="1"/>
  <c r="H6" i="48" s="1"/>
  <c r="I6" i="48" s="1"/>
  <c r="J6" i="48" s="1"/>
  <c r="K6" i="48" s="1"/>
  <c r="L6" i="48" s="1"/>
  <c r="M6" i="48" s="1"/>
  <c r="N6" i="48" s="1"/>
  <c r="B74" i="41"/>
  <c r="D8" i="41"/>
  <c r="E8" i="41" s="1"/>
  <c r="F8" i="41" s="1"/>
  <c r="G8" i="41" s="1"/>
  <c r="H8" i="41" s="1"/>
  <c r="I8" i="41" s="1"/>
  <c r="J8" i="41" s="1"/>
  <c r="K8" i="41" s="1"/>
  <c r="L8" i="41" s="1"/>
  <c r="M8" i="41" s="1"/>
  <c r="N8" i="41" s="1"/>
  <c r="D58" i="44"/>
  <c r="E58" i="44" s="1"/>
  <c r="F58" i="44" s="1"/>
  <c r="G58" i="44" s="1"/>
  <c r="H58" i="44" s="1"/>
  <c r="I58" i="44" s="1"/>
  <c r="J58" i="44" s="1"/>
  <c r="K58" i="44" s="1"/>
  <c r="L58" i="44" s="1"/>
  <c r="M58" i="44" s="1"/>
  <c r="N58" i="44" s="1"/>
  <c r="D8" i="44"/>
  <c r="E8" i="44" s="1"/>
  <c r="F8" i="44" s="1"/>
  <c r="G8" i="44" s="1"/>
  <c r="H8" i="44" s="1"/>
  <c r="I8" i="44" s="1"/>
  <c r="J8" i="44" s="1"/>
  <c r="K8" i="44" s="1"/>
  <c r="L8" i="44" s="1"/>
  <c r="M8" i="44" s="1"/>
  <c r="N8" i="44" s="1"/>
  <c r="C13" i="47"/>
  <c r="D12" i="47"/>
  <c r="D13" i="47" s="1"/>
  <c r="D8" i="45"/>
  <c r="E8" i="45" s="1"/>
  <c r="F8" i="45" s="1"/>
  <c r="G8" i="45" s="1"/>
  <c r="H8" i="45" s="1"/>
  <c r="I8" i="45" s="1"/>
  <c r="J8" i="45" s="1"/>
  <c r="K8" i="45" s="1"/>
  <c r="L8" i="45" s="1"/>
  <c r="M8" i="45" s="1"/>
  <c r="N8" i="45" s="1"/>
  <c r="H14" i="42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C12" i="41"/>
  <c r="D12" i="41" s="1"/>
  <c r="E12" i="41" s="1"/>
  <c r="F12" i="41" s="1"/>
  <c r="G12" i="41" s="1"/>
  <c r="H12" i="41" s="1"/>
  <c r="I12" i="41" s="1"/>
  <c r="J12" i="41" s="1"/>
  <c r="K12" i="41" s="1"/>
  <c r="L12" i="41" s="1"/>
  <c r="M12" i="41" s="1"/>
  <c r="N12" i="41" s="1"/>
  <c r="C21" i="47"/>
  <c r="D21" i="47"/>
  <c r="C20" i="47"/>
  <c r="D20" i="47"/>
  <c r="C19" i="47"/>
  <c r="D19" i="47"/>
  <c r="H52" i="49" l="1"/>
  <c r="F52" i="49"/>
  <c r="E52" i="49"/>
  <c r="C52" i="49"/>
  <c r="M52" i="49"/>
  <c r="I52" i="49"/>
  <c r="G52" i="49"/>
  <c r="K52" i="49"/>
  <c r="J52" i="49"/>
  <c r="L52" i="49"/>
  <c r="D52" i="49"/>
  <c r="C61" i="49"/>
  <c r="D9" i="49"/>
  <c r="D40" i="49"/>
  <c r="C41" i="49"/>
  <c r="C64" i="49"/>
  <c r="C65" i="49" s="1"/>
  <c r="E8" i="49"/>
  <c r="D61" i="49"/>
  <c r="E22" i="49"/>
  <c r="D40" i="48"/>
  <c r="D41" i="48" s="1"/>
  <c r="D24" i="48"/>
  <c r="D25" i="48" s="1"/>
  <c r="D9" i="48"/>
  <c r="E9" i="48"/>
  <c r="E40" i="48"/>
  <c r="E41" i="48" s="1"/>
  <c r="C64" i="48"/>
  <c r="C65" i="48" s="1"/>
  <c r="C41" i="48"/>
  <c r="F8" i="48"/>
  <c r="E24" i="48"/>
  <c r="E25" i="48" s="1"/>
  <c r="D22" i="48"/>
  <c r="C22" i="47"/>
  <c r="D22" i="47"/>
  <c r="C23" i="47"/>
  <c r="C77" i="47" s="1"/>
  <c r="D23" i="47"/>
  <c r="D77" i="47" s="1"/>
  <c r="E12" i="47"/>
  <c r="C24" i="41"/>
  <c r="D12" i="46"/>
  <c r="E12" i="46" s="1"/>
  <c r="F12" i="46" s="1"/>
  <c r="G12" i="46" s="1"/>
  <c r="H12" i="46" s="1"/>
  <c r="I12" i="46" s="1"/>
  <c r="J12" i="46" s="1"/>
  <c r="K12" i="46" s="1"/>
  <c r="L12" i="46" s="1"/>
  <c r="M12" i="46" s="1"/>
  <c r="N12" i="46" s="1"/>
  <c r="D40" i="45"/>
  <c r="D41" i="45" s="1"/>
  <c r="C13" i="46"/>
  <c r="B49" i="45"/>
  <c r="C40" i="45"/>
  <c r="C41" i="45" s="1"/>
  <c r="D38" i="45"/>
  <c r="E38" i="45" s="1"/>
  <c r="F38" i="45" s="1"/>
  <c r="G38" i="45" s="1"/>
  <c r="H38" i="45" s="1"/>
  <c r="I38" i="45" s="1"/>
  <c r="J38" i="45" s="1"/>
  <c r="K38" i="45" s="1"/>
  <c r="L38" i="45" s="1"/>
  <c r="M38" i="45" s="1"/>
  <c r="N38" i="45" s="1"/>
  <c r="C24" i="45"/>
  <c r="C25" i="45" s="1"/>
  <c r="C22" i="45"/>
  <c r="D22" i="45" s="1"/>
  <c r="E22" i="45" s="1"/>
  <c r="F22" i="45" s="1"/>
  <c r="G22" i="45" s="1"/>
  <c r="H22" i="45" s="1"/>
  <c r="I22" i="45" s="1"/>
  <c r="J22" i="45" s="1"/>
  <c r="K22" i="45" s="1"/>
  <c r="L22" i="45" s="1"/>
  <c r="M22" i="45" s="1"/>
  <c r="N22" i="45" s="1"/>
  <c r="C9" i="45"/>
  <c r="D6" i="45"/>
  <c r="E6" i="45" s="1"/>
  <c r="F6" i="45" s="1"/>
  <c r="G6" i="45" s="1"/>
  <c r="H6" i="45" s="1"/>
  <c r="I6" i="45" s="1"/>
  <c r="J6" i="45" s="1"/>
  <c r="K6" i="45" s="1"/>
  <c r="L6" i="45" s="1"/>
  <c r="M6" i="45" s="1"/>
  <c r="N6" i="45" s="1"/>
  <c r="D40" i="44"/>
  <c r="D41" i="44" s="1"/>
  <c r="B49" i="44"/>
  <c r="D38" i="44"/>
  <c r="E38" i="44" s="1"/>
  <c r="F38" i="44" s="1"/>
  <c r="G38" i="44" s="1"/>
  <c r="H38" i="44" s="1"/>
  <c r="I38" i="44" s="1"/>
  <c r="J38" i="44" s="1"/>
  <c r="K38" i="44" s="1"/>
  <c r="L38" i="44" s="1"/>
  <c r="M38" i="44" s="1"/>
  <c r="N38" i="44" s="1"/>
  <c r="C40" i="44"/>
  <c r="C52" i="44" s="1"/>
  <c r="C24" i="44"/>
  <c r="C25" i="44" s="1"/>
  <c r="C22" i="44"/>
  <c r="D22" i="44" s="1"/>
  <c r="E22" i="44" s="1"/>
  <c r="F22" i="44" s="1"/>
  <c r="G22" i="44" s="1"/>
  <c r="H22" i="44" s="1"/>
  <c r="I22" i="44" s="1"/>
  <c r="J22" i="44" s="1"/>
  <c r="K22" i="44" s="1"/>
  <c r="L22" i="44" s="1"/>
  <c r="M22" i="44" s="1"/>
  <c r="N22" i="44" s="1"/>
  <c r="C9" i="44"/>
  <c r="D6" i="44"/>
  <c r="E6" i="44" s="1"/>
  <c r="F6" i="44" s="1"/>
  <c r="G6" i="44" s="1"/>
  <c r="H6" i="44" s="1"/>
  <c r="I6" i="44" s="1"/>
  <c r="J6" i="44" s="1"/>
  <c r="K6" i="44" s="1"/>
  <c r="L6" i="44" s="1"/>
  <c r="M6" i="44" s="1"/>
  <c r="N6" i="44" s="1"/>
  <c r="D6" i="41"/>
  <c r="E6" i="41" s="1"/>
  <c r="F6" i="41" s="1"/>
  <c r="G6" i="41" s="1"/>
  <c r="H6" i="41" s="1"/>
  <c r="I6" i="41" s="1"/>
  <c r="J6" i="41" s="1"/>
  <c r="K6" i="41" s="1"/>
  <c r="L6" i="41" s="1"/>
  <c r="M6" i="41" s="1"/>
  <c r="N6" i="41" s="1"/>
  <c r="C73" i="49"/>
  <c r="C73" i="48"/>
  <c r="C21" i="46"/>
  <c r="C19" i="46"/>
  <c r="C72" i="48"/>
  <c r="C71" i="49"/>
  <c r="C71" i="48"/>
  <c r="C72" i="49"/>
  <c r="C20" i="46"/>
  <c r="C75" i="49" l="1"/>
  <c r="C74" i="49"/>
  <c r="E61" i="49"/>
  <c r="F22" i="49"/>
  <c r="D64" i="49"/>
  <c r="D65" i="49" s="1"/>
  <c r="D41" i="49"/>
  <c r="E40" i="49"/>
  <c r="F8" i="49"/>
  <c r="E24" i="49"/>
  <c r="E25" i="49" s="1"/>
  <c r="E9" i="49"/>
  <c r="D64" i="48"/>
  <c r="D65" i="48" s="1"/>
  <c r="D52" i="48"/>
  <c r="C74" i="48"/>
  <c r="C75" i="48"/>
  <c r="E52" i="48"/>
  <c r="E64" i="48"/>
  <c r="E65" i="48" s="1"/>
  <c r="F40" i="48"/>
  <c r="F24" i="48"/>
  <c r="F25" i="48" s="1"/>
  <c r="F9" i="48"/>
  <c r="G8" i="48"/>
  <c r="D61" i="48"/>
  <c r="E22" i="48"/>
  <c r="E13" i="47"/>
  <c r="F12" i="47"/>
  <c r="C9" i="41"/>
  <c r="C40" i="41"/>
  <c r="C41" i="41" s="1"/>
  <c r="D13" i="46"/>
  <c r="C23" i="46"/>
  <c r="C27" i="46" s="1"/>
  <c r="C22" i="46"/>
  <c r="C52" i="45"/>
  <c r="D52" i="45"/>
  <c r="D9" i="45"/>
  <c r="D24" i="45"/>
  <c r="D25" i="45" s="1"/>
  <c r="C41" i="44"/>
  <c r="D9" i="44"/>
  <c r="D24" i="44"/>
  <c r="D25" i="44" s="1"/>
  <c r="D52" i="44"/>
  <c r="C24" i="42"/>
  <c r="C7" i="42"/>
  <c r="H9" i="42"/>
  <c r="D38" i="41"/>
  <c r="E38" i="41" s="1"/>
  <c r="F38" i="41" s="1"/>
  <c r="G38" i="41" s="1"/>
  <c r="H38" i="41" s="1"/>
  <c r="I38" i="41" s="1"/>
  <c r="J38" i="41" s="1"/>
  <c r="K38" i="41" s="1"/>
  <c r="L38" i="41" s="1"/>
  <c r="M38" i="41" s="1"/>
  <c r="N38" i="41" s="1"/>
  <c r="D72" i="49"/>
  <c r="D19" i="46"/>
  <c r="E21" i="47"/>
  <c r="D21" i="46"/>
  <c r="D73" i="49"/>
  <c r="D72" i="48"/>
  <c r="E19" i="47"/>
  <c r="D20" i="46"/>
  <c r="D71" i="48"/>
  <c r="D71" i="49"/>
  <c r="E20" i="47"/>
  <c r="D73" i="48"/>
  <c r="D75" i="49" l="1"/>
  <c r="D74" i="49"/>
  <c r="F61" i="49"/>
  <c r="G22" i="49"/>
  <c r="F24" i="49"/>
  <c r="F25" i="49" s="1"/>
  <c r="F9" i="49"/>
  <c r="G8" i="49"/>
  <c r="F40" i="49"/>
  <c r="E64" i="49"/>
  <c r="E65" i="49" s="1"/>
  <c r="E41" i="49"/>
  <c r="D74" i="48"/>
  <c r="D75" i="48"/>
  <c r="F64" i="48"/>
  <c r="F65" i="48" s="1"/>
  <c r="F52" i="48"/>
  <c r="F41" i="48"/>
  <c r="E61" i="48"/>
  <c r="F22" i="48"/>
  <c r="G40" i="48"/>
  <c r="G24" i="48"/>
  <c r="G25" i="48" s="1"/>
  <c r="G9" i="48"/>
  <c r="H8" i="48"/>
  <c r="E23" i="47"/>
  <c r="E77" i="47" s="1"/>
  <c r="E22" i="47"/>
  <c r="F13" i="47"/>
  <c r="G12" i="47"/>
  <c r="D22" i="46"/>
  <c r="D23" i="46"/>
  <c r="D27" i="46" s="1"/>
  <c r="E9" i="45"/>
  <c r="E40" i="45"/>
  <c r="E52" i="45" s="1"/>
  <c r="E24" i="45"/>
  <c r="E25" i="45" s="1"/>
  <c r="E13" i="46"/>
  <c r="F24" i="45"/>
  <c r="F25" i="45" s="1"/>
  <c r="F40" i="45"/>
  <c r="F9" i="45"/>
  <c r="E40" i="44"/>
  <c r="E24" i="44"/>
  <c r="E25" i="44" s="1"/>
  <c r="E9" i="44"/>
  <c r="D40" i="41"/>
  <c r="D41" i="41" s="1"/>
  <c r="D24" i="41"/>
  <c r="D9" i="41"/>
  <c r="H15" i="43"/>
  <c r="H14" i="43"/>
  <c r="C35" i="43"/>
  <c r="B33" i="43"/>
  <c r="C24" i="43"/>
  <c r="C25" i="43" s="1"/>
  <c r="D22" i="43"/>
  <c r="D21" i="43"/>
  <c r="L11" i="43"/>
  <c r="L12" i="43" s="1"/>
  <c r="C28" i="43" s="1"/>
  <c r="H6" i="43"/>
  <c r="D5" i="43"/>
  <c r="D4" i="43"/>
  <c r="C22" i="41"/>
  <c r="E72" i="49"/>
  <c r="E71" i="48"/>
  <c r="E71" i="49"/>
  <c r="E19" i="46"/>
  <c r="E72" i="48"/>
  <c r="H67" i="43"/>
  <c r="F19" i="47"/>
  <c r="E73" i="49"/>
  <c r="F21" i="47"/>
  <c r="H38" i="43" a="1"/>
  <c r="K23" i="43"/>
  <c r="F20" i="47"/>
  <c r="E20" i="46"/>
  <c r="E21" i="46"/>
  <c r="E73" i="48"/>
  <c r="H11" i="43"/>
  <c r="C23" i="43"/>
  <c r="H18" i="43"/>
  <c r="L35" i="43"/>
  <c r="H19" i="43"/>
  <c r="H20" i="43"/>
  <c r="H23" i="43"/>
  <c r="H47" i="43" l="1"/>
  <c r="H58" i="43"/>
  <c r="H45" i="43"/>
  <c r="H63" i="43"/>
  <c r="H38" i="43"/>
  <c r="H66" i="43"/>
  <c r="H53" i="43"/>
  <c r="H40" i="43"/>
  <c r="L40" i="43" s="1"/>
  <c r="L41" i="43" s="1"/>
  <c r="H41" i="43"/>
  <c r="H43" i="43"/>
  <c r="H61" i="43"/>
  <c r="H48" i="43"/>
  <c r="H49" i="43"/>
  <c r="H51" i="43"/>
  <c r="H46" i="43"/>
  <c r="K46" i="43" s="1"/>
  <c r="H56" i="43"/>
  <c r="H57" i="43"/>
  <c r="H59" i="43"/>
  <c r="H54" i="43"/>
  <c r="H64" i="43"/>
  <c r="H65" i="43"/>
  <c r="H44" i="43"/>
  <c r="H62" i="43"/>
  <c r="H42" i="43"/>
  <c r="H52" i="43"/>
  <c r="H39" i="43"/>
  <c r="H50" i="43"/>
  <c r="H60" i="43"/>
  <c r="H55" i="43"/>
  <c r="E75" i="49"/>
  <c r="E74" i="49"/>
  <c r="F64" i="49"/>
  <c r="F65" i="49" s="1"/>
  <c r="F41" i="49"/>
  <c r="G40" i="49"/>
  <c r="H8" i="49"/>
  <c r="G24" i="49"/>
  <c r="G25" i="49" s="1"/>
  <c r="G9" i="49"/>
  <c r="G61" i="49"/>
  <c r="H22" i="49"/>
  <c r="E74" i="48"/>
  <c r="E75" i="48"/>
  <c r="G64" i="48"/>
  <c r="G65" i="48" s="1"/>
  <c r="G41" i="48"/>
  <c r="G52" i="48"/>
  <c r="F61" i="48"/>
  <c r="G22" i="48"/>
  <c r="H40" i="48"/>
  <c r="I8" i="48"/>
  <c r="H9" i="48"/>
  <c r="H24" i="48"/>
  <c r="H25" i="48" s="1"/>
  <c r="F23" i="47"/>
  <c r="F77" i="47" s="1"/>
  <c r="F22" i="47"/>
  <c r="H12" i="47"/>
  <c r="G13" i="47"/>
  <c r="E41" i="45"/>
  <c r="E23" i="46"/>
  <c r="E27" i="46" s="1"/>
  <c r="E22" i="46"/>
  <c r="F13" i="46"/>
  <c r="F52" i="45"/>
  <c r="F41" i="45"/>
  <c r="G40" i="45"/>
  <c r="G9" i="45"/>
  <c r="G24" i="45"/>
  <c r="G25" i="45" s="1"/>
  <c r="F24" i="44"/>
  <c r="F25" i="44" s="1"/>
  <c r="F40" i="44"/>
  <c r="F9" i="44"/>
  <c r="E41" i="44"/>
  <c r="E52" i="44"/>
  <c r="E24" i="41"/>
  <c r="E40" i="41"/>
  <c r="E9" i="41"/>
  <c r="C61" i="41"/>
  <c r="D22" i="41"/>
  <c r="E22" i="41" s="1"/>
  <c r="F22" i="41" s="1"/>
  <c r="G22" i="41" s="1"/>
  <c r="H22" i="41" s="1"/>
  <c r="I22" i="41" s="1"/>
  <c r="J22" i="41" s="1"/>
  <c r="K22" i="41" s="1"/>
  <c r="L22" i="41" s="1"/>
  <c r="M22" i="41" s="1"/>
  <c r="N22" i="41" s="1"/>
  <c r="N61" i="41" s="1"/>
  <c r="C11" i="43"/>
  <c r="H24" i="43"/>
  <c r="N38" i="43"/>
  <c r="D22" i="42"/>
  <c r="D21" i="42"/>
  <c r="D5" i="42"/>
  <c r="D4" i="42"/>
  <c r="L11" i="42"/>
  <c r="C11" i="42" s="1"/>
  <c r="G21" i="47"/>
  <c r="D38" i="43" a="1"/>
  <c r="F73" i="49"/>
  <c r="C31" i="43"/>
  <c r="F71" i="49"/>
  <c r="G20" i="47"/>
  <c r="F72" i="49"/>
  <c r="H21" i="43"/>
  <c r="H22" i="43"/>
  <c r="C30" i="43"/>
  <c r="G19" i="47"/>
  <c r="F73" i="48"/>
  <c r="F19" i="46"/>
  <c r="F21" i="46"/>
  <c r="F72" i="48"/>
  <c r="F71" i="48"/>
  <c r="C32" i="43"/>
  <c r="F20" i="46"/>
  <c r="C6" i="43"/>
  <c r="C33" i="43" l="1"/>
  <c r="H25" i="43"/>
  <c r="D55" i="43"/>
  <c r="D53" i="43"/>
  <c r="D63" i="43"/>
  <c r="D65" i="43"/>
  <c r="D43" i="43"/>
  <c r="D61" i="43"/>
  <c r="D40" i="43"/>
  <c r="I49" i="43" s="1"/>
  <c r="D42" i="43"/>
  <c r="D51" i="43"/>
  <c r="D38" i="43"/>
  <c r="D48" i="43"/>
  <c r="D50" i="43"/>
  <c r="D59" i="43"/>
  <c r="D46" i="43"/>
  <c r="D56" i="43"/>
  <c r="D58" i="43"/>
  <c r="D44" i="43"/>
  <c r="D54" i="43"/>
  <c r="D64" i="43"/>
  <c r="D66" i="43"/>
  <c r="D52" i="43"/>
  <c r="D62" i="43"/>
  <c r="D41" i="43"/>
  <c r="D60" i="43"/>
  <c r="D39" i="43"/>
  <c r="D49" i="43"/>
  <c r="D45" i="43"/>
  <c r="D47" i="43"/>
  <c r="D57" i="43"/>
  <c r="C44" i="41"/>
  <c r="D44" i="41" s="1"/>
  <c r="E44" i="41" s="1"/>
  <c r="F44" i="41" s="1"/>
  <c r="G44" i="41" s="1"/>
  <c r="H44" i="41" s="1"/>
  <c r="I44" i="41" s="1"/>
  <c r="J44" i="41" s="1"/>
  <c r="K44" i="41" s="1"/>
  <c r="L44" i="41" s="1"/>
  <c r="M44" i="41" s="1"/>
  <c r="N44" i="41" s="1"/>
  <c r="C44" i="48"/>
  <c r="F75" i="49"/>
  <c r="F74" i="49"/>
  <c r="G64" i="49"/>
  <c r="G65" i="49" s="1"/>
  <c r="G41" i="49"/>
  <c r="H61" i="49"/>
  <c r="I22" i="49"/>
  <c r="H40" i="49"/>
  <c r="I8" i="49"/>
  <c r="H24" i="49"/>
  <c r="H25" i="49" s="1"/>
  <c r="H9" i="49"/>
  <c r="F74" i="48"/>
  <c r="F75" i="48"/>
  <c r="I24" i="48"/>
  <c r="I25" i="48" s="1"/>
  <c r="I9" i="48"/>
  <c r="J8" i="48"/>
  <c r="I40" i="48"/>
  <c r="H52" i="48"/>
  <c r="H41" i="48"/>
  <c r="H64" i="48"/>
  <c r="H65" i="48" s="1"/>
  <c r="G61" i="48"/>
  <c r="H22" i="48"/>
  <c r="G22" i="47"/>
  <c r="G23" i="47"/>
  <c r="G77" i="47" s="1"/>
  <c r="I12" i="47"/>
  <c r="H13" i="47"/>
  <c r="F23" i="46"/>
  <c r="F27" i="46" s="1"/>
  <c r="F22" i="46"/>
  <c r="G13" i="46"/>
  <c r="H9" i="45"/>
  <c r="H24" i="45"/>
  <c r="H25" i="45" s="1"/>
  <c r="H40" i="45"/>
  <c r="G52" i="45"/>
  <c r="G41" i="45"/>
  <c r="G24" i="44"/>
  <c r="G25" i="44" s="1"/>
  <c r="G9" i="44"/>
  <c r="G40" i="44"/>
  <c r="F52" i="44"/>
  <c r="F41" i="44"/>
  <c r="F24" i="41"/>
  <c r="F40" i="41"/>
  <c r="F52" i="41" s="1"/>
  <c r="F9" i="41"/>
  <c r="G61" i="41"/>
  <c r="K61" i="41"/>
  <c r="D61" i="41"/>
  <c r="L61" i="41"/>
  <c r="F61" i="41"/>
  <c r="E41" i="41"/>
  <c r="E61" i="41"/>
  <c r="M61" i="41"/>
  <c r="H61" i="41"/>
  <c r="I61" i="41"/>
  <c r="J61" i="41"/>
  <c r="K53" i="43"/>
  <c r="I57" i="43"/>
  <c r="I59" i="43"/>
  <c r="I58" i="43"/>
  <c r="F49" i="43"/>
  <c r="K50" i="43"/>
  <c r="I50" i="43"/>
  <c r="I52" i="43"/>
  <c r="I51" i="43"/>
  <c r="F56" i="43"/>
  <c r="I65" i="43"/>
  <c r="I64" i="43"/>
  <c r="I66" i="43"/>
  <c r="I63" i="43"/>
  <c r="L12" i="42"/>
  <c r="C28" i="42" s="1"/>
  <c r="H13" i="42"/>
  <c r="H6" i="42"/>
  <c r="C35" i="42"/>
  <c r="B33" i="42"/>
  <c r="C64" i="41"/>
  <c r="C65" i="41" s="1"/>
  <c r="C25" i="41"/>
  <c r="C52" i="41"/>
  <c r="G19" i="46"/>
  <c r="C38" i="43" a="1"/>
  <c r="C14" i="43"/>
  <c r="H43" i="42" a="1"/>
  <c r="H21" i="47"/>
  <c r="C15" i="43"/>
  <c r="G73" i="48"/>
  <c r="C73" i="41"/>
  <c r="G72" i="48"/>
  <c r="G71" i="49"/>
  <c r="G21" i="46"/>
  <c r="H19" i="47"/>
  <c r="H20" i="47"/>
  <c r="G71" i="48"/>
  <c r="L15" i="42"/>
  <c r="G72" i="49"/>
  <c r="G73" i="49"/>
  <c r="C71" i="41"/>
  <c r="G20" i="46"/>
  <c r="C72" i="41"/>
  <c r="P41" i="42"/>
  <c r="C13" i="43"/>
  <c r="C16" i="43" l="1"/>
  <c r="C36" i="43" s="1"/>
  <c r="H28" i="43" s="1"/>
  <c r="C39" i="43"/>
  <c r="C41" i="43"/>
  <c r="C43" i="43"/>
  <c r="C61" i="43"/>
  <c r="C65" i="43"/>
  <c r="C44" i="43"/>
  <c r="C45" i="43"/>
  <c r="C47" i="43"/>
  <c r="C49" i="43"/>
  <c r="C51" i="43"/>
  <c r="C63" i="43"/>
  <c r="C48" i="43"/>
  <c r="C50" i="43"/>
  <c r="C53" i="43"/>
  <c r="C55" i="43"/>
  <c r="C57" i="43"/>
  <c r="C59" i="43"/>
  <c r="C40" i="43"/>
  <c r="I56" i="43" s="1"/>
  <c r="J63" i="43" s="1"/>
  <c r="C42" i="43"/>
  <c r="C54" i="43"/>
  <c r="C56" i="43"/>
  <c r="C58" i="43"/>
  <c r="C46" i="43"/>
  <c r="C60" i="43"/>
  <c r="C62" i="43"/>
  <c r="C64" i="43"/>
  <c r="C66" i="43"/>
  <c r="C38" i="43"/>
  <c r="C52" i="43"/>
  <c r="H50" i="42"/>
  <c r="H58" i="42"/>
  <c r="F32" i="42" s="1"/>
  <c r="H66" i="42"/>
  <c r="G33" i="42" s="1"/>
  <c r="B17" i="49" s="1"/>
  <c r="H44" i="42"/>
  <c r="V32" i="42" s="1"/>
  <c r="H52" i="42"/>
  <c r="G31" i="42" s="1"/>
  <c r="H60" i="42"/>
  <c r="H68" i="42"/>
  <c r="H45" i="42"/>
  <c r="L45" i="42" s="1"/>
  <c r="L46" i="42" s="1"/>
  <c r="H61" i="42"/>
  <c r="H69" i="42"/>
  <c r="H55" i="42"/>
  <c r="H71" i="42"/>
  <c r="H48" i="42"/>
  <c r="Y32" i="42" s="1"/>
  <c r="T51" i="42" s="1"/>
  <c r="H43" i="42"/>
  <c r="U32" i="42" s="1"/>
  <c r="U44" i="42" s="1"/>
  <c r="H51" i="42"/>
  <c r="F31" i="42" s="1"/>
  <c r="H59" i="42"/>
  <c r="H67" i="42"/>
  <c r="H53" i="42"/>
  <c r="R33" i="42" s="1"/>
  <c r="S45" i="42" s="1"/>
  <c r="H64" i="42"/>
  <c r="H49" i="42"/>
  <c r="H46" i="42"/>
  <c r="H54" i="42"/>
  <c r="H62" i="42"/>
  <c r="H70" i="42"/>
  <c r="H47" i="42"/>
  <c r="Z32" i="42" s="1"/>
  <c r="H63" i="42"/>
  <c r="H56" i="42"/>
  <c r="H57" i="42"/>
  <c r="H65" i="42"/>
  <c r="D44" i="48"/>
  <c r="C28" i="48"/>
  <c r="C28" i="41"/>
  <c r="D28" i="41" s="1"/>
  <c r="E28" i="41" s="1"/>
  <c r="F28" i="41" s="1"/>
  <c r="G28" i="41" s="1"/>
  <c r="H28" i="41" s="1"/>
  <c r="I28" i="41" s="1"/>
  <c r="J28" i="41" s="1"/>
  <c r="K28" i="41" s="1"/>
  <c r="L28" i="41" s="1"/>
  <c r="M28" i="41" s="1"/>
  <c r="N28" i="41" s="1"/>
  <c r="G74" i="49"/>
  <c r="G75" i="49"/>
  <c r="I61" i="49"/>
  <c r="J22" i="49"/>
  <c r="I24" i="49"/>
  <c r="I25" i="49" s="1"/>
  <c r="I40" i="49"/>
  <c r="J8" i="49"/>
  <c r="I9" i="49"/>
  <c r="H41" i="49"/>
  <c r="H64" i="49"/>
  <c r="H65" i="49" s="1"/>
  <c r="G74" i="48"/>
  <c r="G75" i="48"/>
  <c r="I22" i="48"/>
  <c r="H61" i="48"/>
  <c r="I52" i="48"/>
  <c r="I64" i="48"/>
  <c r="I65" i="48" s="1"/>
  <c r="I41" i="48"/>
  <c r="J24" i="48"/>
  <c r="J25" i="48" s="1"/>
  <c r="J40" i="48"/>
  <c r="J9" i="48"/>
  <c r="K8" i="48"/>
  <c r="H22" i="47"/>
  <c r="H23" i="47"/>
  <c r="H77" i="47" s="1"/>
  <c r="J12" i="47"/>
  <c r="I13" i="47"/>
  <c r="G23" i="46"/>
  <c r="G27" i="46" s="1"/>
  <c r="G22" i="46"/>
  <c r="H13" i="46"/>
  <c r="H52" i="45"/>
  <c r="H41" i="45"/>
  <c r="I9" i="45"/>
  <c r="I24" i="45"/>
  <c r="I25" i="45" s="1"/>
  <c r="I40" i="45"/>
  <c r="G41" i="44"/>
  <c r="G52" i="44"/>
  <c r="H40" i="44"/>
  <c r="H24" i="44"/>
  <c r="H25" i="44" s="1"/>
  <c r="H9" i="44"/>
  <c r="H9" i="41"/>
  <c r="G24" i="41"/>
  <c r="G40" i="41"/>
  <c r="G9" i="41"/>
  <c r="C25" i="42"/>
  <c r="C8" i="42"/>
  <c r="H10" i="42"/>
  <c r="F41" i="41"/>
  <c r="J65" i="43"/>
  <c r="K65" i="43" s="1"/>
  <c r="L65" i="43" s="1"/>
  <c r="J66" i="43"/>
  <c r="K66" i="43" s="1"/>
  <c r="J64" i="43"/>
  <c r="K64" i="43" s="1"/>
  <c r="C75" i="41"/>
  <c r="C74" i="41"/>
  <c r="D64" i="41"/>
  <c r="D65" i="41" s="1"/>
  <c r="F64" i="41"/>
  <c r="F65" i="41" s="1"/>
  <c r="E64" i="41"/>
  <c r="E65" i="41" s="1"/>
  <c r="F25" i="41"/>
  <c r="E25" i="41"/>
  <c r="D25" i="41"/>
  <c r="E52" i="41"/>
  <c r="D52" i="41"/>
  <c r="H71" i="48"/>
  <c r="K28" i="42"/>
  <c r="K34" i="42"/>
  <c r="H72" i="48"/>
  <c r="H21" i="42"/>
  <c r="K30" i="42"/>
  <c r="H19" i="42"/>
  <c r="H17" i="42"/>
  <c r="H22" i="42"/>
  <c r="L35" i="42"/>
  <c r="H71" i="49"/>
  <c r="K32" i="42"/>
  <c r="H73" i="48"/>
  <c r="K33" i="42"/>
  <c r="H20" i="42"/>
  <c r="H20" i="46"/>
  <c r="C6" i="42"/>
  <c r="C23" i="42"/>
  <c r="C31" i="42" s="1"/>
  <c r="H18" i="42"/>
  <c r="I21" i="47"/>
  <c r="J19" i="42"/>
  <c r="H73" i="49"/>
  <c r="H19" i="46"/>
  <c r="C43" i="42" a="1"/>
  <c r="I19" i="47"/>
  <c r="C14" i="42"/>
  <c r="K31" i="42"/>
  <c r="I20" i="47"/>
  <c r="H21" i="46"/>
  <c r="K19" i="42"/>
  <c r="K29" i="42"/>
  <c r="H72" i="49"/>
  <c r="J56" i="43" l="1"/>
  <c r="K49" i="43"/>
  <c r="I19" i="42"/>
  <c r="W32" i="42"/>
  <c r="W44" i="42" s="1"/>
  <c r="V44" i="42"/>
  <c r="AA32" i="42"/>
  <c r="U51" i="42"/>
  <c r="W51" i="42" s="1"/>
  <c r="X32" i="42"/>
  <c r="S51" i="42" s="1"/>
  <c r="R32" i="42"/>
  <c r="S44" i="42" s="1"/>
  <c r="R34" i="42"/>
  <c r="S46" i="42" s="1"/>
  <c r="K20" i="42"/>
  <c r="C46" i="42"/>
  <c r="C54" i="42"/>
  <c r="C62" i="42"/>
  <c r="C70" i="42"/>
  <c r="C48" i="42"/>
  <c r="C56" i="42"/>
  <c r="C57" i="42"/>
  <c r="C65" i="42"/>
  <c r="C43" i="42"/>
  <c r="V34" i="42" s="1"/>
  <c r="V46" i="42" s="1"/>
  <c r="C59" i="42"/>
  <c r="C61" i="42"/>
  <c r="C47" i="42"/>
  <c r="C55" i="42"/>
  <c r="C63" i="42"/>
  <c r="C71" i="42"/>
  <c r="C64" i="42"/>
  <c r="C49" i="42"/>
  <c r="C52" i="42"/>
  <c r="C68" i="42"/>
  <c r="C53" i="42"/>
  <c r="C50" i="42"/>
  <c r="C58" i="42"/>
  <c r="C66" i="42"/>
  <c r="C51" i="42"/>
  <c r="C67" i="42"/>
  <c r="C44" i="42"/>
  <c r="C60" i="42"/>
  <c r="C45" i="42"/>
  <c r="C69" i="42"/>
  <c r="G32" i="42"/>
  <c r="B49" i="49" s="1"/>
  <c r="J47" i="42"/>
  <c r="J46" i="42"/>
  <c r="L36" i="42"/>
  <c r="Q28" i="42" s="1"/>
  <c r="C42" i="42"/>
  <c r="S34" i="42" s="1"/>
  <c r="T46" i="42" s="1"/>
  <c r="D42" i="42"/>
  <c r="S33" i="42" s="1"/>
  <c r="T45" i="42" s="1"/>
  <c r="B33" i="49"/>
  <c r="Q33" i="42"/>
  <c r="C39" i="48"/>
  <c r="C39" i="49"/>
  <c r="C23" i="49"/>
  <c r="C23" i="48"/>
  <c r="F33" i="42"/>
  <c r="C7" i="49"/>
  <c r="C7" i="48"/>
  <c r="D28" i="48"/>
  <c r="E44" i="48"/>
  <c r="Q35" i="42"/>
  <c r="R47" i="42" s="1"/>
  <c r="R35" i="42"/>
  <c r="S47" i="42" s="1"/>
  <c r="N43" i="42"/>
  <c r="H74" i="49"/>
  <c r="H75" i="49"/>
  <c r="I41" i="49"/>
  <c r="I64" i="49"/>
  <c r="I65" i="49" s="1"/>
  <c r="J61" i="49"/>
  <c r="K22" i="49"/>
  <c r="J9" i="49"/>
  <c r="J40" i="49"/>
  <c r="J24" i="49"/>
  <c r="J25" i="49" s="1"/>
  <c r="K8" i="49"/>
  <c r="B17" i="41"/>
  <c r="B17" i="48"/>
  <c r="B33" i="41"/>
  <c r="B33" i="48"/>
  <c r="H75" i="48"/>
  <c r="H74" i="48"/>
  <c r="K24" i="48"/>
  <c r="K25" i="48" s="1"/>
  <c r="K40" i="48"/>
  <c r="L8" i="48"/>
  <c r="K9" i="48"/>
  <c r="I61" i="48"/>
  <c r="J22" i="48"/>
  <c r="J52" i="48"/>
  <c r="J41" i="48"/>
  <c r="J64" i="48"/>
  <c r="J65" i="48" s="1"/>
  <c r="I22" i="47"/>
  <c r="I23" i="47"/>
  <c r="I77" i="47" s="1"/>
  <c r="J13" i="47"/>
  <c r="K12" i="47"/>
  <c r="C39" i="44"/>
  <c r="C39" i="45"/>
  <c r="C23" i="45"/>
  <c r="C23" i="44"/>
  <c r="C7" i="41"/>
  <c r="C7" i="44"/>
  <c r="C7" i="45"/>
  <c r="H22" i="46"/>
  <c r="H23" i="46"/>
  <c r="H27" i="46" s="1"/>
  <c r="I13" i="46"/>
  <c r="J9" i="45"/>
  <c r="J40" i="45"/>
  <c r="J24" i="45"/>
  <c r="J25" i="45" s="1"/>
  <c r="I41" i="45"/>
  <c r="I52" i="45"/>
  <c r="H41" i="44"/>
  <c r="H52" i="44"/>
  <c r="I40" i="44"/>
  <c r="I24" i="44"/>
  <c r="I25" i="44" s="1"/>
  <c r="I9" i="44"/>
  <c r="H24" i="41"/>
  <c r="H40" i="41"/>
  <c r="C23" i="41"/>
  <c r="C39" i="41"/>
  <c r="H24" i="42"/>
  <c r="H23" i="42"/>
  <c r="K58" i="42"/>
  <c r="C32" i="42"/>
  <c r="C32" i="44"/>
  <c r="C48" i="48"/>
  <c r="C14" i="49"/>
  <c r="C72" i="42"/>
  <c r="C30" i="49"/>
  <c r="C15" i="48"/>
  <c r="C32" i="45"/>
  <c r="C38" i="42"/>
  <c r="C46" i="44"/>
  <c r="C47" i="45"/>
  <c r="C15" i="42"/>
  <c r="I73" i="49"/>
  <c r="I21" i="46"/>
  <c r="J20" i="47"/>
  <c r="C14" i="44"/>
  <c r="C47" i="44"/>
  <c r="C14" i="45"/>
  <c r="C46" i="45"/>
  <c r="C31" i="49"/>
  <c r="I71" i="49"/>
  <c r="I73" i="48"/>
  <c r="I19" i="46"/>
  <c r="C48" i="49"/>
  <c r="C17" i="42"/>
  <c r="C48" i="45"/>
  <c r="D43" i="42" a="1"/>
  <c r="J21" i="47"/>
  <c r="C31" i="41"/>
  <c r="C16" i="44"/>
  <c r="I20" i="46"/>
  <c r="C47" i="41"/>
  <c r="C48" i="44"/>
  <c r="C46" i="41"/>
  <c r="C31" i="45"/>
  <c r="C30" i="42"/>
  <c r="C30" i="48"/>
  <c r="C13" i="42"/>
  <c r="C16" i="49"/>
  <c r="C16" i="45"/>
  <c r="C15" i="45"/>
  <c r="C15" i="44"/>
  <c r="C31" i="44"/>
  <c r="C46" i="49"/>
  <c r="C14" i="48"/>
  <c r="C47" i="49"/>
  <c r="C32" i="41"/>
  <c r="C15" i="41"/>
  <c r="C32" i="49"/>
  <c r="I72" i="49"/>
  <c r="C48" i="41"/>
  <c r="C30" i="45"/>
  <c r="I71" i="48"/>
  <c r="C16" i="41"/>
  <c r="J19" i="47"/>
  <c r="C15" i="49"/>
  <c r="C32" i="48"/>
  <c r="C30" i="44"/>
  <c r="C16" i="48"/>
  <c r="C31" i="48"/>
  <c r="C46" i="48"/>
  <c r="C47" i="48"/>
  <c r="F72" i="41"/>
  <c r="I72" i="48"/>
  <c r="C14" i="41"/>
  <c r="D70" i="42" l="1"/>
  <c r="D61" i="42"/>
  <c r="D64" i="42"/>
  <c r="D44" i="42"/>
  <c r="D47" i="42"/>
  <c r="D69" i="42"/>
  <c r="D49" i="42"/>
  <c r="D53" i="42"/>
  <c r="D52" i="42"/>
  <c r="D63" i="42"/>
  <c r="D55" i="42"/>
  <c r="D65" i="42"/>
  <c r="D60" i="42"/>
  <c r="D71" i="42"/>
  <c r="D66" i="42"/>
  <c r="D50" i="42"/>
  <c r="D62" i="42"/>
  <c r="D68" i="42"/>
  <c r="D57" i="42"/>
  <c r="D43" i="42"/>
  <c r="V33" i="42" s="1"/>
  <c r="V45" i="42" s="1"/>
  <c r="D58" i="42"/>
  <c r="D46" i="42"/>
  <c r="D59" i="42"/>
  <c r="D67" i="42"/>
  <c r="D51" i="42"/>
  <c r="D56" i="42"/>
  <c r="D54" i="42"/>
  <c r="D45" i="42"/>
  <c r="D48" i="42"/>
  <c r="T34" i="42"/>
  <c r="T33" i="42"/>
  <c r="B49" i="41"/>
  <c r="C49" i="41" s="1"/>
  <c r="B49" i="48"/>
  <c r="C49" i="48" s="1"/>
  <c r="D7" i="41"/>
  <c r="E7" i="41" s="1"/>
  <c r="S35" i="42"/>
  <c r="T47" i="42" s="1"/>
  <c r="Y33" i="42"/>
  <c r="T52" i="42" s="1"/>
  <c r="R45" i="42"/>
  <c r="V51" i="42"/>
  <c r="Y34" i="42"/>
  <c r="T53" i="42" s="1"/>
  <c r="X35" i="42"/>
  <c r="S54" i="42" s="1"/>
  <c r="Z33" i="42"/>
  <c r="Z35" i="42"/>
  <c r="U54" i="42" s="1"/>
  <c r="W54" i="42" s="1"/>
  <c r="Y35" i="42"/>
  <c r="Q34" i="42"/>
  <c r="Z34" i="42"/>
  <c r="X34" i="42"/>
  <c r="S53" i="42" s="1"/>
  <c r="J48" i="42"/>
  <c r="J49" i="42" s="1"/>
  <c r="X33" i="42"/>
  <c r="S52" i="42" s="1"/>
  <c r="C49" i="49"/>
  <c r="C17" i="49"/>
  <c r="C33" i="49"/>
  <c r="K23" i="48"/>
  <c r="G23" i="48"/>
  <c r="L23" i="48"/>
  <c r="D23" i="48"/>
  <c r="M23" i="48"/>
  <c r="J23" i="48"/>
  <c r="N23" i="48"/>
  <c r="F23" i="48"/>
  <c r="H23" i="48"/>
  <c r="I23" i="48"/>
  <c r="E23" i="48"/>
  <c r="F44" i="48"/>
  <c r="D39" i="49"/>
  <c r="D39" i="48"/>
  <c r="D7" i="48"/>
  <c r="D7" i="49"/>
  <c r="F23" i="49"/>
  <c r="N23" i="49"/>
  <c r="K23" i="49"/>
  <c r="G23" i="49"/>
  <c r="L23" i="49"/>
  <c r="M23" i="49"/>
  <c r="E23" i="49"/>
  <c r="J23" i="49"/>
  <c r="D23" i="49"/>
  <c r="H23" i="49"/>
  <c r="I23" i="49"/>
  <c r="E28" i="48"/>
  <c r="I74" i="49"/>
  <c r="I75" i="49"/>
  <c r="J41" i="49"/>
  <c r="J64" i="49"/>
  <c r="J65" i="49" s="1"/>
  <c r="K61" i="49"/>
  <c r="L22" i="49"/>
  <c r="K24" i="49"/>
  <c r="K25" i="49" s="1"/>
  <c r="L8" i="49"/>
  <c r="K9" i="49"/>
  <c r="K40" i="49"/>
  <c r="C33" i="48"/>
  <c r="C17" i="48"/>
  <c r="I75" i="48"/>
  <c r="I74" i="48"/>
  <c r="L24" i="48"/>
  <c r="L25" i="48" s="1"/>
  <c r="M8" i="48"/>
  <c r="L40" i="48"/>
  <c r="L9" i="48"/>
  <c r="K52" i="48"/>
  <c r="K41" i="48"/>
  <c r="K64" i="48"/>
  <c r="K65" i="48" s="1"/>
  <c r="J61" i="48"/>
  <c r="K22" i="48"/>
  <c r="J22" i="47"/>
  <c r="J23" i="47"/>
  <c r="J77" i="47" s="1"/>
  <c r="K13" i="47"/>
  <c r="L12" i="47"/>
  <c r="C33" i="45"/>
  <c r="C57" i="45" s="1"/>
  <c r="C49" i="44"/>
  <c r="C17" i="45"/>
  <c r="C17" i="41"/>
  <c r="C33" i="44"/>
  <c r="C49" i="45"/>
  <c r="D23" i="45"/>
  <c r="G23" i="45"/>
  <c r="J23" i="45"/>
  <c r="K23" i="45"/>
  <c r="I23" i="45"/>
  <c r="N23" i="45"/>
  <c r="H23" i="45"/>
  <c r="F23" i="45"/>
  <c r="M23" i="45"/>
  <c r="E23" i="45"/>
  <c r="L23" i="45"/>
  <c r="D39" i="44"/>
  <c r="D7" i="45"/>
  <c r="D7" i="44"/>
  <c r="K23" i="44"/>
  <c r="J23" i="44"/>
  <c r="L23" i="44"/>
  <c r="D23" i="44"/>
  <c r="G23" i="44"/>
  <c r="H23" i="44"/>
  <c r="E23" i="44"/>
  <c r="I23" i="44"/>
  <c r="M23" i="44"/>
  <c r="F23" i="44"/>
  <c r="N23" i="44"/>
  <c r="D39" i="45"/>
  <c r="I23" i="46"/>
  <c r="I27" i="46" s="1"/>
  <c r="I22" i="46"/>
  <c r="J13" i="46"/>
  <c r="K9" i="45"/>
  <c r="K40" i="45"/>
  <c r="K24" i="45"/>
  <c r="K25" i="45" s="1"/>
  <c r="J41" i="45"/>
  <c r="J52" i="45"/>
  <c r="I41" i="44"/>
  <c r="I52" i="44"/>
  <c r="J24" i="44"/>
  <c r="J25" i="44" s="1"/>
  <c r="J40" i="44"/>
  <c r="J9" i="44"/>
  <c r="J9" i="41"/>
  <c r="I40" i="41"/>
  <c r="I24" i="41"/>
  <c r="I9" i="41"/>
  <c r="C33" i="41"/>
  <c r="D39" i="41"/>
  <c r="I23" i="41"/>
  <c r="E23" i="41"/>
  <c r="M23" i="41"/>
  <c r="N23" i="41"/>
  <c r="D23" i="41"/>
  <c r="J23" i="41"/>
  <c r="K23" i="41"/>
  <c r="L23" i="41"/>
  <c r="F23" i="41"/>
  <c r="G23" i="41"/>
  <c r="H23" i="41"/>
  <c r="J21" i="46"/>
  <c r="D30" i="48"/>
  <c r="D48" i="44"/>
  <c r="H32" i="44"/>
  <c r="D46" i="49"/>
  <c r="K32" i="45"/>
  <c r="D15" i="48"/>
  <c r="F32" i="45"/>
  <c r="K19" i="47"/>
  <c r="F31" i="45"/>
  <c r="D15" i="41"/>
  <c r="E30" i="44"/>
  <c r="D15" i="45"/>
  <c r="G31" i="44"/>
  <c r="E32" i="45"/>
  <c r="D32" i="48"/>
  <c r="D30" i="44"/>
  <c r="D47" i="49"/>
  <c r="D48" i="45"/>
  <c r="D16" i="49"/>
  <c r="E30" i="45"/>
  <c r="E15" i="41"/>
  <c r="E16" i="41"/>
  <c r="J31" i="45"/>
  <c r="E30" i="41"/>
  <c r="I31" i="49"/>
  <c r="E31" i="45"/>
  <c r="F30" i="45"/>
  <c r="G30" i="49"/>
  <c r="D16" i="44"/>
  <c r="H32" i="49"/>
  <c r="D14" i="41"/>
  <c r="D46" i="44"/>
  <c r="H31" i="49"/>
  <c r="J31" i="49"/>
  <c r="E32" i="48"/>
  <c r="D47" i="45"/>
  <c r="I31" i="45"/>
  <c r="D14" i="48"/>
  <c r="D47" i="48"/>
  <c r="D31" i="48"/>
  <c r="D14" i="49"/>
  <c r="D16" i="48"/>
  <c r="J32" i="45"/>
  <c r="G32" i="45"/>
  <c r="J20" i="46"/>
  <c r="F31" i="44"/>
  <c r="D14" i="45"/>
  <c r="G32" i="44"/>
  <c r="K30" i="45"/>
  <c r="H32" i="45"/>
  <c r="E30" i="48"/>
  <c r="D73" i="41"/>
  <c r="I30" i="45"/>
  <c r="D30" i="41"/>
  <c r="J72" i="49"/>
  <c r="F30" i="49"/>
  <c r="D48" i="48"/>
  <c r="D32" i="44"/>
  <c r="E30" i="49"/>
  <c r="K31" i="45"/>
  <c r="J30" i="49"/>
  <c r="J30" i="45"/>
  <c r="G31" i="49"/>
  <c r="I32" i="45"/>
  <c r="D31" i="44"/>
  <c r="D46" i="45"/>
  <c r="D48" i="49"/>
  <c r="E32" i="44"/>
  <c r="H30" i="45"/>
  <c r="F32" i="44"/>
  <c r="K30" i="49"/>
  <c r="K20" i="47"/>
  <c r="D31" i="49"/>
  <c r="K31" i="49"/>
  <c r="D32" i="49"/>
  <c r="E32" i="49"/>
  <c r="H30" i="49"/>
  <c r="D16" i="41"/>
  <c r="G30" i="44"/>
  <c r="K21" i="47"/>
  <c r="K32" i="49"/>
  <c r="I30" i="44"/>
  <c r="J73" i="49"/>
  <c r="J32" i="49"/>
  <c r="D14" i="44"/>
  <c r="F30" i="44"/>
  <c r="J71" i="48"/>
  <c r="E31" i="49"/>
  <c r="J30" i="44"/>
  <c r="D32" i="45"/>
  <c r="D46" i="48"/>
  <c r="I30" i="49"/>
  <c r="D16" i="45"/>
  <c r="C30" i="41"/>
  <c r="E14" i="41"/>
  <c r="D48" i="41"/>
  <c r="F31" i="49"/>
  <c r="D47" i="44"/>
  <c r="J32" i="44"/>
  <c r="H31" i="45"/>
  <c r="D31" i="45"/>
  <c r="J31" i="44"/>
  <c r="J19" i="46"/>
  <c r="D15" i="49"/>
  <c r="G32" i="49"/>
  <c r="E31" i="48"/>
  <c r="J71" i="49"/>
  <c r="J73" i="48"/>
  <c r="F32" i="49"/>
  <c r="J72" i="48"/>
  <c r="I32" i="44"/>
  <c r="H30" i="44"/>
  <c r="D46" i="41"/>
  <c r="D30" i="45"/>
  <c r="H31" i="44"/>
  <c r="E31" i="44"/>
  <c r="G31" i="45"/>
  <c r="I31" i="44"/>
  <c r="G30" i="45"/>
  <c r="D30" i="49"/>
  <c r="D15" i="44"/>
  <c r="I32" i="49"/>
  <c r="D17" i="41" l="1"/>
  <c r="C53" i="49"/>
  <c r="C79" i="49" s="1"/>
  <c r="R46" i="42"/>
  <c r="V53" i="42" s="1"/>
  <c r="Q38" i="42"/>
  <c r="V52" i="42"/>
  <c r="Y36" i="42"/>
  <c r="T54" i="42"/>
  <c r="V54" i="42" s="1"/>
  <c r="AA33" i="42"/>
  <c r="U52" i="42"/>
  <c r="W52" i="42" s="1"/>
  <c r="AA34" i="42"/>
  <c r="U53" i="42"/>
  <c r="S55" i="42"/>
  <c r="Z36" i="42"/>
  <c r="X36" i="42"/>
  <c r="E33" i="48"/>
  <c r="G33" i="49"/>
  <c r="D33" i="48"/>
  <c r="D49" i="48"/>
  <c r="D49" i="49"/>
  <c r="I33" i="49"/>
  <c r="H33" i="49"/>
  <c r="D33" i="49"/>
  <c r="F33" i="49"/>
  <c r="J33" i="49"/>
  <c r="D17" i="49"/>
  <c r="E33" i="49"/>
  <c r="D17" i="48"/>
  <c r="F28" i="48"/>
  <c r="G44" i="48"/>
  <c r="E39" i="48"/>
  <c r="E39" i="49"/>
  <c r="E7" i="49"/>
  <c r="E7" i="48"/>
  <c r="K33" i="49"/>
  <c r="J74" i="49"/>
  <c r="J75" i="49"/>
  <c r="L61" i="49"/>
  <c r="M22" i="49"/>
  <c r="K41" i="49"/>
  <c r="K64" i="49"/>
  <c r="K65" i="49" s="1"/>
  <c r="L9" i="49"/>
  <c r="L40" i="49"/>
  <c r="M8" i="49"/>
  <c r="L24" i="49"/>
  <c r="L25" i="49" s="1"/>
  <c r="C53" i="48"/>
  <c r="C79" i="48" s="1"/>
  <c r="J75" i="48"/>
  <c r="J74" i="48"/>
  <c r="M9" i="48"/>
  <c r="M24" i="48"/>
  <c r="M25" i="48" s="1"/>
  <c r="M40" i="48"/>
  <c r="N8" i="48"/>
  <c r="L41" i="48"/>
  <c r="L64" i="48"/>
  <c r="L65" i="48" s="1"/>
  <c r="L52" i="48"/>
  <c r="K61" i="48"/>
  <c r="L22" i="48"/>
  <c r="K23" i="47"/>
  <c r="K77" i="47" s="1"/>
  <c r="K22" i="47"/>
  <c r="M12" i="47"/>
  <c r="L13" i="47"/>
  <c r="C53" i="41"/>
  <c r="D33" i="44"/>
  <c r="D33" i="45"/>
  <c r="D57" i="45" s="1"/>
  <c r="H33" i="45"/>
  <c r="H57" i="45" s="1"/>
  <c r="E33" i="45"/>
  <c r="E57" i="45" s="1"/>
  <c r="D49" i="45"/>
  <c r="G33" i="45"/>
  <c r="G57" i="45" s="1"/>
  <c r="F33" i="44"/>
  <c r="F33" i="45"/>
  <c r="F57" i="45" s="1"/>
  <c r="I33" i="44"/>
  <c r="E33" i="44"/>
  <c r="D17" i="45"/>
  <c r="I33" i="45"/>
  <c r="I57" i="45" s="1"/>
  <c r="H33" i="44"/>
  <c r="D49" i="44"/>
  <c r="G33" i="44"/>
  <c r="J33" i="45"/>
  <c r="J57" i="45" s="1"/>
  <c r="C58" i="45"/>
  <c r="C53" i="45"/>
  <c r="C59" i="45" s="1"/>
  <c r="E39" i="45"/>
  <c r="E7" i="44"/>
  <c r="E7" i="45"/>
  <c r="E39" i="44"/>
  <c r="J22" i="46"/>
  <c r="J23" i="46"/>
  <c r="J27" i="46" s="1"/>
  <c r="K13" i="46"/>
  <c r="K33" i="45"/>
  <c r="K57" i="45" s="1"/>
  <c r="L24" i="45"/>
  <c r="L25" i="45" s="1"/>
  <c r="L9" i="45"/>
  <c r="L40" i="45"/>
  <c r="K41" i="45"/>
  <c r="K52" i="45"/>
  <c r="J33" i="44"/>
  <c r="J41" i="44"/>
  <c r="J52" i="44"/>
  <c r="K40" i="44"/>
  <c r="K9" i="44"/>
  <c r="K24" i="44"/>
  <c r="K25" i="44" s="1"/>
  <c r="K9" i="41"/>
  <c r="J40" i="41"/>
  <c r="J24" i="41"/>
  <c r="F7" i="41"/>
  <c r="E39" i="41"/>
  <c r="E17" i="41"/>
  <c r="L31" i="49"/>
  <c r="L20" i="47"/>
  <c r="K73" i="48"/>
  <c r="F31" i="48"/>
  <c r="F32" i="48"/>
  <c r="E15" i="49"/>
  <c r="E48" i="44"/>
  <c r="E14" i="49"/>
  <c r="K30" i="44"/>
  <c r="L30" i="49"/>
  <c r="E46" i="44"/>
  <c r="L32" i="49"/>
  <c r="K71" i="49"/>
  <c r="K71" i="48"/>
  <c r="L19" i="47"/>
  <c r="L21" i="47"/>
  <c r="K72" i="48"/>
  <c r="E47" i="44"/>
  <c r="K19" i="46"/>
  <c r="L32" i="45"/>
  <c r="F15" i="41"/>
  <c r="E46" i="48"/>
  <c r="E48" i="49"/>
  <c r="K72" i="49"/>
  <c r="E16" i="48"/>
  <c r="E47" i="49"/>
  <c r="K32" i="44"/>
  <c r="D47" i="41"/>
  <c r="E48" i="48"/>
  <c r="F14" i="41"/>
  <c r="K73" i="49"/>
  <c r="E47" i="48"/>
  <c r="F30" i="48"/>
  <c r="E46" i="49"/>
  <c r="E15" i="48"/>
  <c r="E16" i="49"/>
  <c r="E14" i="48"/>
  <c r="D53" i="48" l="1"/>
  <c r="D79" i="48" s="1"/>
  <c r="W53" i="42"/>
  <c r="D53" i="49"/>
  <c r="D79" i="49" s="1"/>
  <c r="V55" i="42"/>
  <c r="U55" i="42"/>
  <c r="T55" i="42"/>
  <c r="F33" i="48"/>
  <c r="E17" i="48"/>
  <c r="E17" i="49"/>
  <c r="E49" i="49"/>
  <c r="E49" i="48"/>
  <c r="G28" i="48"/>
  <c r="F7" i="48"/>
  <c r="F7" i="49"/>
  <c r="F39" i="49"/>
  <c r="F39" i="48"/>
  <c r="H44" i="48"/>
  <c r="K75" i="49"/>
  <c r="K74" i="49"/>
  <c r="L33" i="49"/>
  <c r="M61" i="49"/>
  <c r="N22" i="49"/>
  <c r="N61" i="49" s="1"/>
  <c r="L64" i="49"/>
  <c r="L65" i="49" s="1"/>
  <c r="L41" i="49"/>
  <c r="M40" i="49"/>
  <c r="N8" i="49"/>
  <c r="M24" i="49"/>
  <c r="M25" i="49" s="1"/>
  <c r="M9" i="49"/>
  <c r="K75" i="48"/>
  <c r="K74" i="48"/>
  <c r="N40" i="48"/>
  <c r="N24" i="48"/>
  <c r="N25" i="48" s="1"/>
  <c r="N9" i="48"/>
  <c r="M64" i="48"/>
  <c r="M65" i="48" s="1"/>
  <c r="M52" i="48"/>
  <c r="M41" i="48"/>
  <c r="L61" i="48"/>
  <c r="M22" i="48"/>
  <c r="L23" i="47"/>
  <c r="L77" i="47" s="1"/>
  <c r="L22" i="47"/>
  <c r="N12" i="47"/>
  <c r="N13" i="47" s="1"/>
  <c r="M13" i="47"/>
  <c r="D49" i="41"/>
  <c r="N19" i="47"/>
  <c r="N20" i="47"/>
  <c r="E48" i="45"/>
  <c r="E46" i="45"/>
  <c r="F48" i="48"/>
  <c r="N21" i="47"/>
  <c r="F15" i="49"/>
  <c r="G32" i="48"/>
  <c r="F14" i="48"/>
  <c r="E14" i="45"/>
  <c r="L73" i="48"/>
  <c r="F71" i="41"/>
  <c r="K31" i="44"/>
  <c r="L71" i="49"/>
  <c r="E14" i="44"/>
  <c r="F16" i="49"/>
  <c r="L72" i="49"/>
  <c r="E47" i="45"/>
  <c r="F47" i="49"/>
  <c r="F16" i="41"/>
  <c r="F16" i="48"/>
  <c r="G31" i="48"/>
  <c r="G30" i="48"/>
  <c r="K20" i="46"/>
  <c r="E16" i="45"/>
  <c r="L72" i="48"/>
  <c r="L30" i="45"/>
  <c r="E16" i="44"/>
  <c r="M32" i="49"/>
  <c r="L31" i="45"/>
  <c r="F46" i="49"/>
  <c r="E15" i="45"/>
  <c r="E48" i="41"/>
  <c r="L73" i="49"/>
  <c r="M21" i="47"/>
  <c r="F47" i="48"/>
  <c r="K21" i="46"/>
  <c r="M20" i="47"/>
  <c r="M30" i="49"/>
  <c r="L71" i="48"/>
  <c r="F15" i="48"/>
  <c r="F48" i="49"/>
  <c r="E47" i="41"/>
  <c r="M19" i="47"/>
  <c r="M31" i="49"/>
  <c r="F14" i="49"/>
  <c r="E15" i="44"/>
  <c r="F46" i="48"/>
  <c r="E53" i="49" l="1"/>
  <c r="E79" i="49" s="1"/>
  <c r="F49" i="48"/>
  <c r="F49" i="49"/>
  <c r="F17" i="49"/>
  <c r="F17" i="48"/>
  <c r="G33" i="48"/>
  <c r="I44" i="48"/>
  <c r="G39" i="48"/>
  <c r="G39" i="49"/>
  <c r="G7" i="49"/>
  <c r="G7" i="48"/>
  <c r="H28" i="48"/>
  <c r="E53" i="48"/>
  <c r="E79" i="48" s="1"/>
  <c r="L75" i="49"/>
  <c r="L74" i="49"/>
  <c r="M33" i="49"/>
  <c r="N24" i="49"/>
  <c r="N25" i="49" s="1"/>
  <c r="N9" i="49"/>
  <c r="N40" i="49"/>
  <c r="M64" i="49"/>
  <c r="M65" i="49" s="1"/>
  <c r="M41" i="49"/>
  <c r="L74" i="48"/>
  <c r="L75" i="48"/>
  <c r="N64" i="48"/>
  <c r="N65" i="48" s="1"/>
  <c r="N52" i="48"/>
  <c r="N41" i="48"/>
  <c r="M61" i="48"/>
  <c r="N22" i="48"/>
  <c r="M23" i="47"/>
  <c r="M77" i="47" s="1"/>
  <c r="M22" i="47"/>
  <c r="N23" i="47"/>
  <c r="N77" i="47" s="1"/>
  <c r="N22" i="47"/>
  <c r="E17" i="45"/>
  <c r="E49" i="45"/>
  <c r="E49" i="44"/>
  <c r="F7" i="45"/>
  <c r="F7" i="44"/>
  <c r="D58" i="45"/>
  <c r="D53" i="45"/>
  <c r="D59" i="45" s="1"/>
  <c r="F39" i="45"/>
  <c r="F39" i="44"/>
  <c r="K23" i="46"/>
  <c r="K27" i="46" s="1"/>
  <c r="K22" i="46"/>
  <c r="L13" i="46"/>
  <c r="L33" i="45"/>
  <c r="L57" i="45" s="1"/>
  <c r="L41" i="45"/>
  <c r="L52" i="45"/>
  <c r="M24" i="45"/>
  <c r="M25" i="45" s="1"/>
  <c r="M40" i="45"/>
  <c r="M9" i="45"/>
  <c r="K33" i="44"/>
  <c r="L40" i="44"/>
  <c r="L9" i="44"/>
  <c r="L24" i="44"/>
  <c r="L25" i="44" s="1"/>
  <c r="K41" i="44"/>
  <c r="K52" i="44"/>
  <c r="K40" i="41"/>
  <c r="K24" i="41"/>
  <c r="G7" i="41"/>
  <c r="F39" i="41"/>
  <c r="F17" i="41"/>
  <c r="M73" i="48"/>
  <c r="M72" i="48"/>
  <c r="F14" i="45"/>
  <c r="G48" i="49"/>
  <c r="H32" i="48"/>
  <c r="F48" i="45"/>
  <c r="G15" i="49"/>
  <c r="G47" i="49"/>
  <c r="G16" i="41"/>
  <c r="L31" i="44"/>
  <c r="E32" i="41"/>
  <c r="M72" i="49"/>
  <c r="G46" i="49"/>
  <c r="H31" i="48"/>
  <c r="G16" i="48"/>
  <c r="N30" i="49"/>
  <c r="M30" i="45"/>
  <c r="N31" i="49"/>
  <c r="F48" i="44"/>
  <c r="F46" i="45"/>
  <c r="M31" i="45"/>
  <c r="F16" i="45"/>
  <c r="E46" i="41"/>
  <c r="M32" i="45"/>
  <c r="G14" i="49"/>
  <c r="M73" i="49"/>
  <c r="L21" i="46"/>
  <c r="N32" i="49"/>
  <c r="F47" i="45"/>
  <c r="F46" i="41"/>
  <c r="F15" i="44"/>
  <c r="F16" i="44"/>
  <c r="L32" i="44"/>
  <c r="H30" i="48"/>
  <c r="M71" i="48"/>
  <c r="M71" i="49"/>
  <c r="G14" i="41"/>
  <c r="G14" i="48"/>
  <c r="F47" i="44"/>
  <c r="F15" i="45"/>
  <c r="G16" i="49"/>
  <c r="F14" i="44"/>
  <c r="L20" i="46"/>
  <c r="G46" i="48"/>
  <c r="L19" i="46"/>
  <c r="G48" i="48"/>
  <c r="L30" i="44"/>
  <c r="G47" i="48"/>
  <c r="G15" i="41"/>
  <c r="F46" i="44"/>
  <c r="E31" i="41"/>
  <c r="G15" i="48"/>
  <c r="F53" i="48" l="1"/>
  <c r="F79" i="48" s="1"/>
  <c r="G17" i="49"/>
  <c r="G49" i="49"/>
  <c r="G49" i="48"/>
  <c r="H33" i="48"/>
  <c r="G17" i="48"/>
  <c r="H7" i="49"/>
  <c r="H39" i="49"/>
  <c r="H39" i="48"/>
  <c r="J44" i="48"/>
  <c r="I28" i="48"/>
  <c r="H7" i="48"/>
  <c r="F53" i="49"/>
  <c r="F79" i="49" s="1"/>
  <c r="M75" i="49"/>
  <c r="M74" i="49"/>
  <c r="N33" i="49"/>
  <c r="N64" i="49"/>
  <c r="N65" i="49" s="1"/>
  <c r="N41" i="49"/>
  <c r="M74" i="48"/>
  <c r="M75" i="48"/>
  <c r="N61" i="48"/>
  <c r="F49" i="44"/>
  <c r="F49" i="45"/>
  <c r="F17" i="45"/>
  <c r="E53" i="45"/>
  <c r="E59" i="45" s="1"/>
  <c r="E58" i="45"/>
  <c r="G39" i="44"/>
  <c r="G39" i="45"/>
  <c r="G7" i="44"/>
  <c r="G7" i="45"/>
  <c r="L22" i="46"/>
  <c r="L23" i="46"/>
  <c r="L27" i="46" s="1"/>
  <c r="N13" i="46"/>
  <c r="M13" i="46"/>
  <c r="M33" i="45"/>
  <c r="M57" i="45" s="1"/>
  <c r="N24" i="45"/>
  <c r="N25" i="45" s="1"/>
  <c r="N40" i="45"/>
  <c r="N9" i="45"/>
  <c r="M52" i="45"/>
  <c r="M41" i="45"/>
  <c r="L33" i="44"/>
  <c r="M40" i="44"/>
  <c r="M24" i="44"/>
  <c r="M25" i="44" s="1"/>
  <c r="M9" i="44"/>
  <c r="L41" i="44"/>
  <c r="L52" i="44"/>
  <c r="M9" i="41"/>
  <c r="L40" i="41"/>
  <c r="L24" i="41"/>
  <c r="L9" i="41"/>
  <c r="G39" i="41"/>
  <c r="H39" i="41" s="1"/>
  <c r="I39" i="41" s="1"/>
  <c r="J39" i="41" s="1"/>
  <c r="K39" i="41" s="1"/>
  <c r="L39" i="41" s="1"/>
  <c r="M39" i="41" s="1"/>
  <c r="N39" i="41" s="1"/>
  <c r="H7" i="41"/>
  <c r="G17" i="41"/>
  <c r="G46" i="44"/>
  <c r="D31" i="41"/>
  <c r="I32" i="48"/>
  <c r="M21" i="46"/>
  <c r="F73" i="41"/>
  <c r="N30" i="45"/>
  <c r="N71" i="48"/>
  <c r="H15" i="49"/>
  <c r="G14" i="45"/>
  <c r="G15" i="44"/>
  <c r="N73" i="48"/>
  <c r="H16" i="41"/>
  <c r="G48" i="44"/>
  <c r="N32" i="45"/>
  <c r="G16" i="45"/>
  <c r="I31" i="48"/>
  <c r="G46" i="45"/>
  <c r="D32" i="41"/>
  <c r="N19" i="46"/>
  <c r="M31" i="44"/>
  <c r="H15" i="48"/>
  <c r="N72" i="48"/>
  <c r="E72" i="41"/>
  <c r="N31" i="45"/>
  <c r="G47" i="44"/>
  <c r="N20" i="46"/>
  <c r="H46" i="48"/>
  <c r="N71" i="49"/>
  <c r="M20" i="46"/>
  <c r="H46" i="49"/>
  <c r="H47" i="49"/>
  <c r="N21" i="46"/>
  <c r="G15" i="45"/>
  <c r="G47" i="45"/>
  <c r="H48" i="48"/>
  <c r="H14" i="41"/>
  <c r="H15" i="41"/>
  <c r="M30" i="44"/>
  <c r="H48" i="49"/>
  <c r="M19" i="46"/>
  <c r="H14" i="49"/>
  <c r="G48" i="45"/>
  <c r="H47" i="48"/>
  <c r="H14" i="48"/>
  <c r="H16" i="49"/>
  <c r="G14" i="44"/>
  <c r="M32" i="44"/>
  <c r="G16" i="44"/>
  <c r="I30" i="48"/>
  <c r="N72" i="49"/>
  <c r="H16" i="48"/>
  <c r="N73" i="49"/>
  <c r="G53" i="49" l="1"/>
  <c r="G79" i="49" s="1"/>
  <c r="U35" i="42"/>
  <c r="I33" i="48"/>
  <c r="H49" i="48"/>
  <c r="H49" i="49"/>
  <c r="H17" i="49"/>
  <c r="H17" i="48"/>
  <c r="J28" i="48"/>
  <c r="K44" i="48"/>
  <c r="I39" i="48"/>
  <c r="I39" i="49"/>
  <c r="I7" i="49"/>
  <c r="I7" i="48"/>
  <c r="G53" i="48"/>
  <c r="G79" i="48" s="1"/>
  <c r="N75" i="49"/>
  <c r="N74" i="49"/>
  <c r="N74" i="48"/>
  <c r="N75" i="48"/>
  <c r="G49" i="44"/>
  <c r="G49" i="45"/>
  <c r="G17" i="45"/>
  <c r="H39" i="44"/>
  <c r="H39" i="45"/>
  <c r="H7" i="45"/>
  <c r="F53" i="45"/>
  <c r="F59" i="45" s="1"/>
  <c r="F58" i="45"/>
  <c r="H7" i="44"/>
  <c r="N23" i="46"/>
  <c r="N27" i="46" s="1"/>
  <c r="N22" i="46"/>
  <c r="M23" i="46"/>
  <c r="M27" i="46" s="1"/>
  <c r="M22" i="46"/>
  <c r="N33" i="45"/>
  <c r="N57" i="45" s="1"/>
  <c r="N52" i="45"/>
  <c r="N41" i="45"/>
  <c r="M33" i="44"/>
  <c r="N24" i="44"/>
  <c r="N25" i="44" s="1"/>
  <c r="N40" i="44"/>
  <c r="N9" i="44"/>
  <c r="M41" i="44"/>
  <c r="M52" i="44"/>
  <c r="M24" i="41"/>
  <c r="M40" i="41"/>
  <c r="I7" i="41"/>
  <c r="H17" i="41"/>
  <c r="H16" i="45"/>
  <c r="H48" i="44"/>
  <c r="I14" i="41"/>
  <c r="I14" i="49"/>
  <c r="F47" i="41"/>
  <c r="I47" i="49"/>
  <c r="I15" i="41"/>
  <c r="H15" i="45"/>
  <c r="H16" i="44"/>
  <c r="I46" i="49"/>
  <c r="I14" i="48"/>
  <c r="H14" i="45"/>
  <c r="H48" i="45"/>
  <c r="I15" i="49"/>
  <c r="I48" i="48"/>
  <c r="H46" i="44"/>
  <c r="H46" i="45"/>
  <c r="F48" i="41"/>
  <c r="I48" i="49"/>
  <c r="H47" i="45"/>
  <c r="N31" i="44"/>
  <c r="H15" i="44"/>
  <c r="I15" i="48"/>
  <c r="H14" i="44"/>
  <c r="I46" i="48"/>
  <c r="I16" i="41"/>
  <c r="I47" i="48"/>
  <c r="N32" i="44"/>
  <c r="I16" i="48"/>
  <c r="H47" i="44"/>
  <c r="N30" i="44"/>
  <c r="J30" i="48"/>
  <c r="J32" i="48"/>
  <c r="J31" i="48"/>
  <c r="I16" i="49"/>
  <c r="H53" i="49" l="1"/>
  <c r="H79" i="49" s="1"/>
  <c r="V35" i="42"/>
  <c r="U47" i="42"/>
  <c r="I17" i="48"/>
  <c r="I49" i="48"/>
  <c r="J33" i="48"/>
  <c r="I17" i="49"/>
  <c r="I49" i="49"/>
  <c r="J7" i="48"/>
  <c r="J39" i="48"/>
  <c r="L44" i="48"/>
  <c r="K28" i="48"/>
  <c r="J7" i="49"/>
  <c r="H53" i="48"/>
  <c r="H79" i="48" s="1"/>
  <c r="J39" i="49"/>
  <c r="H17" i="45"/>
  <c r="H49" i="45"/>
  <c r="H49" i="44"/>
  <c r="B17" i="44"/>
  <c r="H17" i="44" s="1"/>
  <c r="I7" i="45"/>
  <c r="I39" i="45"/>
  <c r="I39" i="44"/>
  <c r="I7" i="44"/>
  <c r="G53" i="45"/>
  <c r="G59" i="45" s="1"/>
  <c r="G58" i="45"/>
  <c r="N33" i="44"/>
  <c r="N52" i="44"/>
  <c r="N41" i="44"/>
  <c r="N24" i="41"/>
  <c r="N40" i="41"/>
  <c r="N9" i="41"/>
  <c r="J7" i="41"/>
  <c r="I17" i="41"/>
  <c r="G41" i="41"/>
  <c r="G64" i="41"/>
  <c r="G65" i="41" s="1"/>
  <c r="K51" i="42"/>
  <c r="U33" i="42"/>
  <c r="U45" i="42" s="1"/>
  <c r="I54" i="42"/>
  <c r="E51" i="42"/>
  <c r="C33" i="42"/>
  <c r="U34" i="42"/>
  <c r="U46" i="42" s="1"/>
  <c r="I61" i="42"/>
  <c r="C16" i="42"/>
  <c r="F61" i="42"/>
  <c r="K55" i="42"/>
  <c r="F54" i="42"/>
  <c r="I69" i="42"/>
  <c r="I70" i="42"/>
  <c r="I71" i="42"/>
  <c r="I68" i="42"/>
  <c r="I56" i="42"/>
  <c r="I55" i="42"/>
  <c r="I57" i="42"/>
  <c r="I62" i="42"/>
  <c r="I63" i="42"/>
  <c r="I64" i="42"/>
  <c r="E75" i="41"/>
  <c r="F75" i="41"/>
  <c r="F74" i="41"/>
  <c r="E33" i="41"/>
  <c r="D33" i="41"/>
  <c r="D53" i="41" s="1"/>
  <c r="G52" i="41"/>
  <c r="G25" i="41"/>
  <c r="C79" i="41"/>
  <c r="F49" i="41"/>
  <c r="E49" i="41"/>
  <c r="I46" i="45"/>
  <c r="J46" i="48"/>
  <c r="I47" i="45"/>
  <c r="I48" i="45"/>
  <c r="J15" i="41"/>
  <c r="J15" i="49"/>
  <c r="K32" i="48"/>
  <c r="J48" i="48"/>
  <c r="J16" i="49"/>
  <c r="D72" i="41"/>
  <c r="I15" i="44"/>
  <c r="J14" i="48"/>
  <c r="I15" i="45"/>
  <c r="I16" i="45"/>
  <c r="I48" i="44"/>
  <c r="I47" i="44"/>
  <c r="I16" i="44"/>
  <c r="J46" i="49"/>
  <c r="I14" i="44"/>
  <c r="D71" i="41"/>
  <c r="J47" i="49"/>
  <c r="J48" i="49"/>
  <c r="I14" i="45"/>
  <c r="J15" i="48"/>
  <c r="K31" i="48"/>
  <c r="J14" i="49"/>
  <c r="J16" i="48"/>
  <c r="J47" i="48"/>
  <c r="K30" i="48"/>
  <c r="I46" i="44"/>
  <c r="I53" i="49" l="1"/>
  <c r="I79" i="49" s="1"/>
  <c r="H53" i="44"/>
  <c r="H59" i="44" s="1"/>
  <c r="W35" i="42"/>
  <c r="W47" i="42" s="1"/>
  <c r="V47" i="42"/>
  <c r="W33" i="42"/>
  <c r="W45" i="42" s="1"/>
  <c r="W34" i="42"/>
  <c r="W46" i="42" s="1"/>
  <c r="J17" i="48"/>
  <c r="J49" i="49"/>
  <c r="J17" i="49"/>
  <c r="K33" i="48"/>
  <c r="J49" i="48"/>
  <c r="K7" i="48"/>
  <c r="K39" i="49"/>
  <c r="K7" i="49"/>
  <c r="L28" i="48"/>
  <c r="I53" i="48"/>
  <c r="I79" i="48" s="1"/>
  <c r="M44" i="48"/>
  <c r="K39" i="48"/>
  <c r="E53" i="41"/>
  <c r="D75" i="41"/>
  <c r="D74" i="41"/>
  <c r="L30" i="48"/>
  <c r="K46" i="49"/>
  <c r="K46" i="48"/>
  <c r="L31" i="48"/>
  <c r="K47" i="49"/>
  <c r="L32" i="48"/>
  <c r="E73" i="41"/>
  <c r="K47" i="48"/>
  <c r="K14" i="48"/>
  <c r="J14" i="41"/>
  <c r="K15" i="49"/>
  <c r="K48" i="48"/>
  <c r="K16" i="48"/>
  <c r="K15" i="48"/>
  <c r="E71" i="41"/>
  <c r="K14" i="49"/>
  <c r="J16" i="41"/>
  <c r="K48" i="49"/>
  <c r="K16" i="49"/>
  <c r="W48" i="42" l="1"/>
  <c r="W36" i="42"/>
  <c r="K49" i="48"/>
  <c r="L33" i="48"/>
  <c r="K17" i="49"/>
  <c r="K49" i="49"/>
  <c r="K17" i="48"/>
  <c r="L39" i="48"/>
  <c r="N44" i="48"/>
  <c r="J53" i="49"/>
  <c r="J79" i="49" s="1"/>
  <c r="M28" i="48"/>
  <c r="L7" i="49"/>
  <c r="L39" i="49"/>
  <c r="L7" i="48"/>
  <c r="J53" i="48"/>
  <c r="J79" i="48" s="1"/>
  <c r="I49" i="44"/>
  <c r="I49" i="45"/>
  <c r="I17" i="45"/>
  <c r="I17" i="44"/>
  <c r="D17" i="44"/>
  <c r="D53" i="44" s="1"/>
  <c r="D59" i="44" s="1"/>
  <c r="C17" i="44"/>
  <c r="C53" i="44" s="1"/>
  <c r="C59" i="44" s="1"/>
  <c r="E17" i="44"/>
  <c r="E53" i="44" s="1"/>
  <c r="E59" i="44" s="1"/>
  <c r="F17" i="44"/>
  <c r="F53" i="44" s="1"/>
  <c r="F59" i="44" s="1"/>
  <c r="G17" i="44"/>
  <c r="G53" i="44" s="1"/>
  <c r="G59" i="44" s="1"/>
  <c r="H53" i="45"/>
  <c r="H59" i="45" s="1"/>
  <c r="H58" i="45"/>
  <c r="J7" i="44"/>
  <c r="J39" i="44"/>
  <c r="J39" i="45"/>
  <c r="J7" i="45"/>
  <c r="K7" i="41"/>
  <c r="E74" i="41"/>
  <c r="L16" i="49"/>
  <c r="L46" i="48"/>
  <c r="J14" i="45"/>
  <c r="J48" i="44"/>
  <c r="G72" i="41"/>
  <c r="L46" i="49"/>
  <c r="M31" i="48"/>
  <c r="J47" i="45"/>
  <c r="L48" i="48"/>
  <c r="J47" i="44"/>
  <c r="M32" i="48"/>
  <c r="J14" i="44"/>
  <c r="J48" i="45"/>
  <c r="G73" i="41"/>
  <c r="J16" i="45"/>
  <c r="L47" i="49"/>
  <c r="J46" i="44"/>
  <c r="J46" i="45"/>
  <c r="L16" i="48"/>
  <c r="L15" i="48"/>
  <c r="L14" i="48"/>
  <c r="J16" i="44"/>
  <c r="L47" i="48"/>
  <c r="L14" i="49"/>
  <c r="L48" i="49"/>
  <c r="J15" i="44"/>
  <c r="M30" i="48"/>
  <c r="J15" i="45"/>
  <c r="L15" i="49"/>
  <c r="K53" i="49" l="1"/>
  <c r="K79" i="49" s="1"/>
  <c r="L49" i="48"/>
  <c r="L17" i="48"/>
  <c r="L49" i="49"/>
  <c r="L17" i="49"/>
  <c r="M33" i="48"/>
  <c r="M39" i="48"/>
  <c r="M7" i="48"/>
  <c r="M39" i="49"/>
  <c r="M7" i="49"/>
  <c r="N28" i="48"/>
  <c r="K53" i="48"/>
  <c r="K79" i="48" s="1"/>
  <c r="J49" i="45"/>
  <c r="J49" i="44"/>
  <c r="J17" i="44"/>
  <c r="J17" i="45"/>
  <c r="K39" i="45"/>
  <c r="K39" i="44"/>
  <c r="K7" i="44"/>
  <c r="I53" i="45"/>
  <c r="I59" i="45" s="1"/>
  <c r="I58" i="45"/>
  <c r="I53" i="44"/>
  <c r="I59" i="44" s="1"/>
  <c r="K7" i="45"/>
  <c r="L7" i="41"/>
  <c r="J17" i="41"/>
  <c r="K14" i="45"/>
  <c r="N30" i="48"/>
  <c r="M46" i="48"/>
  <c r="K15" i="41"/>
  <c r="K14" i="44"/>
  <c r="K48" i="44"/>
  <c r="M14" i="49"/>
  <c r="M15" i="48"/>
  <c r="M14" i="48"/>
  <c r="F31" i="41"/>
  <c r="M48" i="48"/>
  <c r="M16" i="48"/>
  <c r="N31" i="48"/>
  <c r="K14" i="41"/>
  <c r="G48" i="41"/>
  <c r="K16" i="44"/>
  <c r="M16" i="49"/>
  <c r="M47" i="49"/>
  <c r="G71" i="41"/>
  <c r="K47" i="45"/>
  <c r="G46" i="41"/>
  <c r="G47" i="41"/>
  <c r="K16" i="41"/>
  <c r="M47" i="48"/>
  <c r="K47" i="44"/>
  <c r="M46" i="49"/>
  <c r="M15" i="49"/>
  <c r="K15" i="45"/>
  <c r="K16" i="45"/>
  <c r="K46" i="45"/>
  <c r="F30" i="41"/>
  <c r="K48" i="45"/>
  <c r="K46" i="44"/>
  <c r="K15" i="44"/>
  <c r="N32" i="48"/>
  <c r="M48" i="49"/>
  <c r="N33" i="48" l="1"/>
  <c r="M17" i="49"/>
  <c r="M49" i="49"/>
  <c r="M17" i="48"/>
  <c r="M49" i="48"/>
  <c r="L53" i="49"/>
  <c r="L79" i="49" s="1"/>
  <c r="N7" i="49"/>
  <c r="L53" i="48"/>
  <c r="L79" i="48" s="1"/>
  <c r="N39" i="49"/>
  <c r="N7" i="48"/>
  <c r="N39" i="48"/>
  <c r="K49" i="44"/>
  <c r="K49" i="45"/>
  <c r="K17" i="45"/>
  <c r="K17" i="44"/>
  <c r="L39" i="44"/>
  <c r="L39" i="45"/>
  <c r="L7" i="45"/>
  <c r="J53" i="44"/>
  <c r="J59" i="44" s="1"/>
  <c r="J53" i="45"/>
  <c r="J59" i="45" s="1"/>
  <c r="J58" i="45"/>
  <c r="L7" i="44"/>
  <c r="M7" i="41"/>
  <c r="K17" i="41"/>
  <c r="G74" i="41"/>
  <c r="G75" i="41"/>
  <c r="H41" i="41"/>
  <c r="H64" i="41"/>
  <c r="H65" i="41" s="1"/>
  <c r="J61" i="42"/>
  <c r="K54" i="42"/>
  <c r="C36" i="42"/>
  <c r="H28" i="42" s="1"/>
  <c r="J71" i="42"/>
  <c r="K71" i="42" s="1"/>
  <c r="J69" i="42"/>
  <c r="J68" i="42"/>
  <c r="J70" i="42"/>
  <c r="K70" i="42" s="1"/>
  <c r="L70" i="42" s="1"/>
  <c r="E79" i="41"/>
  <c r="H52" i="41"/>
  <c r="H25" i="41"/>
  <c r="D79" i="41"/>
  <c r="G49" i="41"/>
  <c r="F33" i="41"/>
  <c r="F53" i="41" s="1"/>
  <c r="N47" i="48"/>
  <c r="L15" i="45"/>
  <c r="L14" i="45"/>
  <c r="L14" i="44"/>
  <c r="N47" i="49"/>
  <c r="F32" i="41"/>
  <c r="N14" i="49"/>
  <c r="L46" i="44"/>
  <c r="N48" i="48"/>
  <c r="N14" i="48"/>
  <c r="L48" i="44"/>
  <c r="L15" i="41"/>
  <c r="N46" i="48"/>
  <c r="L16" i="41"/>
  <c r="L16" i="44"/>
  <c r="L48" i="45"/>
  <c r="L47" i="44"/>
  <c r="L15" i="44"/>
  <c r="N48" i="49"/>
  <c r="N16" i="48"/>
  <c r="N46" i="49"/>
  <c r="N15" i="49"/>
  <c r="L46" i="45"/>
  <c r="L47" i="45"/>
  <c r="L16" i="45"/>
  <c r="N15" i="48"/>
  <c r="L14" i="41"/>
  <c r="N16" i="49"/>
  <c r="M53" i="49" l="1"/>
  <c r="M79" i="49" s="1"/>
  <c r="M53" i="48"/>
  <c r="M79" i="48" s="1"/>
  <c r="K69" i="42"/>
  <c r="N49" i="49"/>
  <c r="N17" i="49"/>
  <c r="N49" i="48"/>
  <c r="N17" i="48"/>
  <c r="K53" i="44"/>
  <c r="K59" i="44" s="1"/>
  <c r="L49" i="44"/>
  <c r="L17" i="45"/>
  <c r="L49" i="45"/>
  <c r="L17" i="44"/>
  <c r="M39" i="44"/>
  <c r="M7" i="45"/>
  <c r="M39" i="45"/>
  <c r="M7" i="44"/>
  <c r="K53" i="45"/>
  <c r="K59" i="45" s="1"/>
  <c r="K58" i="45"/>
  <c r="N7" i="41"/>
  <c r="F79" i="41"/>
  <c r="L17" i="41"/>
  <c r="H47" i="41"/>
  <c r="M14" i="45"/>
  <c r="H71" i="41"/>
  <c r="M46" i="44"/>
  <c r="M47" i="44"/>
  <c r="G30" i="41"/>
  <c r="M16" i="45"/>
  <c r="M47" i="45"/>
  <c r="H73" i="41"/>
  <c r="M48" i="44"/>
  <c r="M15" i="45"/>
  <c r="G32" i="41"/>
  <c r="M15" i="44"/>
  <c r="M15" i="41"/>
  <c r="M48" i="45"/>
  <c r="M14" i="44"/>
  <c r="M16" i="41"/>
  <c r="M16" i="44"/>
  <c r="M46" i="45"/>
  <c r="M14" i="41"/>
  <c r="N53" i="49" l="1"/>
  <c r="N79" i="49" s="1"/>
  <c r="N53" i="48"/>
  <c r="N79" i="48" s="1"/>
  <c r="L53" i="44"/>
  <c r="L59" i="44" s="1"/>
  <c r="M17" i="44"/>
  <c r="M49" i="45"/>
  <c r="M17" i="45"/>
  <c r="M49" i="44"/>
  <c r="N7" i="44"/>
  <c r="N39" i="45"/>
  <c r="N7" i="45"/>
  <c r="N39" i="44"/>
  <c r="L53" i="45"/>
  <c r="L59" i="45" s="1"/>
  <c r="L58" i="45"/>
  <c r="M17" i="41"/>
  <c r="H74" i="41"/>
  <c r="I41" i="41"/>
  <c r="I64" i="41"/>
  <c r="I65" i="41" s="1"/>
  <c r="I52" i="41"/>
  <c r="I25" i="41"/>
  <c r="H49" i="41"/>
  <c r="N47" i="44"/>
  <c r="N46" i="44"/>
  <c r="N15" i="41"/>
  <c r="N48" i="45"/>
  <c r="N15" i="45"/>
  <c r="N47" i="45"/>
  <c r="G31" i="41"/>
  <c r="N14" i="45"/>
  <c r="N48" i="44"/>
  <c r="N15" i="44"/>
  <c r="H72" i="41"/>
  <c r="N16" i="44"/>
  <c r="H48" i="41"/>
  <c r="H46" i="41"/>
  <c r="N14" i="44"/>
  <c r="N46" i="45"/>
  <c r="N16" i="41"/>
  <c r="N16" i="45"/>
  <c r="N14" i="41"/>
  <c r="H75" i="41" l="1"/>
  <c r="G33" i="41"/>
  <c r="G53" i="41" s="1"/>
  <c r="G79" i="41" s="1"/>
  <c r="N49" i="44"/>
  <c r="N17" i="45"/>
  <c r="N49" i="45"/>
  <c r="N17" i="44"/>
  <c r="M53" i="44"/>
  <c r="M59" i="44" s="1"/>
  <c r="M53" i="45"/>
  <c r="M59" i="45" s="1"/>
  <c r="M58" i="45"/>
  <c r="N17" i="41"/>
  <c r="I48" i="41"/>
  <c r="I71" i="41"/>
  <c r="I73" i="41"/>
  <c r="H31" i="41"/>
  <c r="H30" i="41"/>
  <c r="I72" i="41"/>
  <c r="I47" i="41"/>
  <c r="H32" i="41"/>
  <c r="I46" i="41"/>
  <c r="N53" i="44" l="1"/>
  <c r="N59" i="44" s="1"/>
  <c r="N53" i="45"/>
  <c r="N59" i="45" s="1"/>
  <c r="N58" i="45"/>
  <c r="I75" i="41"/>
  <c r="I74" i="41"/>
  <c r="J41" i="41"/>
  <c r="J64" i="41"/>
  <c r="J65" i="41" s="1"/>
  <c r="J52" i="41"/>
  <c r="J25" i="41"/>
  <c r="I49" i="41"/>
  <c r="H33" i="41"/>
  <c r="H53" i="41" s="1"/>
  <c r="J20" i="38"/>
  <c r="J19" i="38" s="1"/>
  <c r="J25" i="38"/>
  <c r="H79" i="41" l="1"/>
  <c r="K41" i="41"/>
  <c r="K64" i="41"/>
  <c r="K65" i="41" s="1"/>
  <c r="K52" i="41"/>
  <c r="K25" i="41"/>
  <c r="O68" i="38"/>
  <c r="K68" i="38"/>
  <c r="G68" i="38"/>
  <c r="J46" i="41"/>
  <c r="I30" i="41"/>
  <c r="J47" i="41"/>
  <c r="J48" i="41"/>
  <c r="J72" i="41"/>
  <c r="J73" i="41"/>
  <c r="I31" i="41"/>
  <c r="J71" i="41"/>
  <c r="I32" i="41"/>
  <c r="J75" i="41" l="1"/>
  <c r="J74" i="41"/>
  <c r="J49" i="41"/>
  <c r="I33" i="41"/>
  <c r="I53" i="41" s="1"/>
  <c r="K48" i="41"/>
  <c r="K72" i="41"/>
  <c r="J32" i="41"/>
  <c r="K73" i="41"/>
  <c r="J31" i="41"/>
  <c r="K71" i="41"/>
  <c r="K47" i="41"/>
  <c r="K46" i="41"/>
  <c r="J30" i="41"/>
  <c r="I79" i="41" l="1"/>
  <c r="K74" i="41"/>
  <c r="K75" i="41"/>
  <c r="L41" i="41"/>
  <c r="L64" i="41"/>
  <c r="L65" i="41" s="1"/>
  <c r="L52" i="41"/>
  <c r="L25" i="41"/>
  <c r="K49" i="41"/>
  <c r="J33" i="41"/>
  <c r="J53" i="41" s="1"/>
  <c r="T71" i="38"/>
  <c r="G83" i="38"/>
  <c r="K83" i="38" s="1"/>
  <c r="O83" i="38" s="1"/>
  <c r="G84" i="38"/>
  <c r="K84" i="38" s="1"/>
  <c r="O84" i="38" s="1"/>
  <c r="G82" i="38"/>
  <c r="K82" i="38" s="1"/>
  <c r="O82" i="38" s="1"/>
  <c r="D83" i="38"/>
  <c r="H83" i="38" s="1"/>
  <c r="L83" i="38" s="1"/>
  <c r="P83" i="38" s="1"/>
  <c r="D84" i="38"/>
  <c r="H84" i="38" s="1"/>
  <c r="L84" i="38" s="1"/>
  <c r="P84" i="38" s="1"/>
  <c r="D82" i="38"/>
  <c r="H82" i="38" s="1"/>
  <c r="L82" i="38" s="1"/>
  <c r="P82" i="38" s="1"/>
  <c r="L78" i="38"/>
  <c r="P78" i="38" s="1"/>
  <c r="K78" i="38"/>
  <c r="O78" i="38" s="1"/>
  <c r="L89" i="38"/>
  <c r="K89" i="38"/>
  <c r="L88" i="38"/>
  <c r="H87" i="38"/>
  <c r="G87" i="38"/>
  <c r="K87" i="38" s="1"/>
  <c r="O87" i="38" s="1"/>
  <c r="P85" i="38"/>
  <c r="O85" i="38"/>
  <c r="L85" i="38"/>
  <c r="K85" i="38"/>
  <c r="H85" i="38"/>
  <c r="G85" i="38"/>
  <c r="D85" i="38"/>
  <c r="C85" i="38"/>
  <c r="D81" i="38"/>
  <c r="H81" i="38" s="1"/>
  <c r="L81" i="38" s="1"/>
  <c r="P81" i="38" s="1"/>
  <c r="C81" i="38"/>
  <c r="G81" i="38" s="1"/>
  <c r="H80" i="38"/>
  <c r="L80" i="38" s="1"/>
  <c r="P80" i="38" s="1"/>
  <c r="G80" i="38"/>
  <c r="K80" i="38" s="1"/>
  <c r="Y55" i="38"/>
  <c r="Y68" i="38"/>
  <c r="Y62" i="38"/>
  <c r="X62" i="38"/>
  <c r="U60" i="38"/>
  <c r="U71" i="38" s="1"/>
  <c r="T128" i="38"/>
  <c r="D109" i="38"/>
  <c r="D114" i="38" s="1"/>
  <c r="H114" i="38" s="1"/>
  <c r="L114" i="38" s="1"/>
  <c r="P114" i="38" s="1"/>
  <c r="C114" i="38"/>
  <c r="G114" i="38" s="1"/>
  <c r="K114" i="38" s="1"/>
  <c r="O114" i="38" s="1"/>
  <c r="D58" i="38"/>
  <c r="H58" i="38" s="1"/>
  <c r="L58" i="38" s="1"/>
  <c r="P58" i="38" s="1"/>
  <c r="C58" i="38"/>
  <c r="G58" i="38" s="1"/>
  <c r="K58" i="38" s="1"/>
  <c r="O58" i="38" s="1"/>
  <c r="U124" i="38"/>
  <c r="U118" i="38"/>
  <c r="T118" i="38"/>
  <c r="T117" i="38"/>
  <c r="U115" i="38"/>
  <c r="L122" i="38"/>
  <c r="P122" i="38" s="1"/>
  <c r="T61" i="38"/>
  <c r="U68" i="38"/>
  <c r="U59" i="38"/>
  <c r="U62" i="38"/>
  <c r="T62" i="38"/>
  <c r="C134" i="38"/>
  <c r="C138" i="38"/>
  <c r="D138" i="38"/>
  <c r="D134" i="38"/>
  <c r="H57" i="38"/>
  <c r="L57" i="38" s="1"/>
  <c r="P57" i="38" s="1"/>
  <c r="G57" i="38"/>
  <c r="K57" i="38" s="1"/>
  <c r="O57" i="38" s="1"/>
  <c r="H64" i="38"/>
  <c r="L64" i="38" s="1"/>
  <c r="P64" i="38" s="1"/>
  <c r="G64" i="38"/>
  <c r="K64" i="38" s="1"/>
  <c r="O64" i="38" s="1"/>
  <c r="L65" i="38"/>
  <c r="L66" i="38"/>
  <c r="K66" i="38"/>
  <c r="P62" i="38"/>
  <c r="O62" i="38"/>
  <c r="D116" i="38"/>
  <c r="D117" i="38" s="1"/>
  <c r="H117" i="38" s="1"/>
  <c r="L117" i="38" s="1"/>
  <c r="P117" i="38" s="1"/>
  <c r="C116" i="38"/>
  <c r="C117" i="38" s="1"/>
  <c r="G117" i="38" s="1"/>
  <c r="K117" i="38" s="1"/>
  <c r="O117" i="38" s="1"/>
  <c r="L121" i="38"/>
  <c r="P118" i="38"/>
  <c r="O118" i="38"/>
  <c r="K122" i="38"/>
  <c r="O122" i="38" s="1"/>
  <c r="H120" i="38"/>
  <c r="L120" i="38" s="1"/>
  <c r="P120" i="38" s="1"/>
  <c r="G120" i="38"/>
  <c r="K120" i="38" s="1"/>
  <c r="O120" i="38" s="1"/>
  <c r="H113" i="38"/>
  <c r="L113" i="38" s="1"/>
  <c r="P113" i="38" s="1"/>
  <c r="G113" i="38"/>
  <c r="K113" i="38" s="1"/>
  <c r="O113" i="38" s="1"/>
  <c r="H115" i="38"/>
  <c r="L115" i="38" s="1"/>
  <c r="P115" i="38" s="1"/>
  <c r="G112" i="38"/>
  <c r="K112" i="38" s="1"/>
  <c r="O112" i="38" s="1"/>
  <c r="H112" i="38"/>
  <c r="L112" i="38" s="1"/>
  <c r="P112" i="38" s="1"/>
  <c r="G115" i="38"/>
  <c r="K115" i="38" s="1"/>
  <c r="O115" i="38" s="1"/>
  <c r="L118" i="38"/>
  <c r="K118" i="38"/>
  <c r="H118" i="38"/>
  <c r="G118" i="38"/>
  <c r="D118" i="38"/>
  <c r="C118" i="38"/>
  <c r="L62" i="38"/>
  <c r="K62" i="38"/>
  <c r="H62" i="38"/>
  <c r="G62" i="38"/>
  <c r="D62" i="38"/>
  <c r="C62" i="38"/>
  <c r="H67" i="38"/>
  <c r="P67" i="38"/>
  <c r="L71" i="41"/>
  <c r="C67" i="38"/>
  <c r="D123" i="38"/>
  <c r="R53" i="38"/>
  <c r="H90" i="38"/>
  <c r="C90" i="38"/>
  <c r="K67" i="38"/>
  <c r="L73" i="41"/>
  <c r="D67" i="38"/>
  <c r="L67" i="38"/>
  <c r="G90" i="38"/>
  <c r="G67" i="38"/>
  <c r="D143" i="38"/>
  <c r="O67" i="38"/>
  <c r="C143" i="38"/>
  <c r="D90" i="38"/>
  <c r="L72" i="41"/>
  <c r="C123" i="38"/>
  <c r="J79" i="41" l="1"/>
  <c r="L74" i="41"/>
  <c r="L75" i="41"/>
  <c r="N41" i="41"/>
  <c r="M41" i="41"/>
  <c r="M64" i="41"/>
  <c r="M65" i="41" s="1"/>
  <c r="M52" i="41"/>
  <c r="M25" i="41"/>
  <c r="H68" i="38"/>
  <c r="G69" i="38"/>
  <c r="G70" i="38" s="1"/>
  <c r="H69" i="38"/>
  <c r="H94" i="38"/>
  <c r="L87" i="38"/>
  <c r="C92" i="38"/>
  <c r="B92" i="38"/>
  <c r="D91" i="38" s="1"/>
  <c r="D92" i="38" s="1"/>
  <c r="F92" i="38"/>
  <c r="H91" i="38" s="1"/>
  <c r="H92" i="38" s="1"/>
  <c r="G93" i="38"/>
  <c r="O80" i="38"/>
  <c r="K81" i="38"/>
  <c r="G94" i="38"/>
  <c r="G52" i="38"/>
  <c r="H52" i="38"/>
  <c r="X61" i="38"/>
  <c r="X57" i="38"/>
  <c r="Y57" i="38" s="1"/>
  <c r="X58" i="38"/>
  <c r="Y58" i="38" s="1"/>
  <c r="X59" i="38"/>
  <c r="H128" i="38"/>
  <c r="G128" i="38"/>
  <c r="T113" i="38"/>
  <c r="U113" i="38" s="1"/>
  <c r="T114" i="38"/>
  <c r="T57" i="38"/>
  <c r="U57" i="38" s="1"/>
  <c r="T58" i="38"/>
  <c r="C145" i="38"/>
  <c r="B145" i="38"/>
  <c r="D144" i="38" s="1"/>
  <c r="D145" i="38" s="1"/>
  <c r="O69" i="38"/>
  <c r="N69" i="38"/>
  <c r="P68" i="38" s="1"/>
  <c r="P69" i="38" s="1"/>
  <c r="K69" i="38"/>
  <c r="K73" i="38" s="1"/>
  <c r="J69" i="38"/>
  <c r="L68" i="38" s="1"/>
  <c r="L69" i="38" s="1"/>
  <c r="H116" i="38"/>
  <c r="X60" i="38" s="1"/>
  <c r="X71" i="38" s="1"/>
  <c r="G116" i="38"/>
  <c r="C125" i="38"/>
  <c r="B125" i="38"/>
  <c r="E70" i="38"/>
  <c r="B69" i="38"/>
  <c r="D68" i="38" s="1"/>
  <c r="C69" i="38"/>
  <c r="L36" i="38"/>
  <c r="K36" i="38"/>
  <c r="J36" i="38"/>
  <c r="I36" i="38"/>
  <c r="S40" i="38" s="1"/>
  <c r="S42" i="38" s="1"/>
  <c r="D36" i="38"/>
  <c r="E36" i="38"/>
  <c r="F36" i="38"/>
  <c r="C36" i="38"/>
  <c r="T35" i="38"/>
  <c r="T38" i="38" s="1"/>
  <c r="S36" i="38"/>
  <c r="S37" i="38" s="1"/>
  <c r="L40" i="38"/>
  <c r="K40" i="38"/>
  <c r="J40" i="38"/>
  <c r="I40" i="38"/>
  <c r="L47" i="41"/>
  <c r="K45" i="38"/>
  <c r="L90" i="38"/>
  <c r="K90" i="38"/>
  <c r="T123" i="38"/>
  <c r="L46" i="41"/>
  <c r="L45" i="38"/>
  <c r="K30" i="41"/>
  <c r="X67" i="38"/>
  <c r="J45" i="38"/>
  <c r="G123" i="38"/>
  <c r="I45" i="38"/>
  <c r="K31" i="41"/>
  <c r="H123" i="38"/>
  <c r="N19" i="38"/>
  <c r="L48" i="41"/>
  <c r="T67" i="38"/>
  <c r="K33" i="41" l="1"/>
  <c r="K53" i="41" s="1"/>
  <c r="L49" i="41"/>
  <c r="L32" i="41"/>
  <c r="K32" i="41"/>
  <c r="M72" i="41"/>
  <c r="M46" i="41"/>
  <c r="M73" i="41"/>
  <c r="M48" i="41"/>
  <c r="M71" i="41"/>
  <c r="M47" i="41"/>
  <c r="L31" i="41"/>
  <c r="L30" i="41"/>
  <c r="K79" i="41" l="1"/>
  <c r="M74" i="41"/>
  <c r="M75" i="41"/>
  <c r="N25" i="41"/>
  <c r="N64" i="41"/>
  <c r="N65" i="41" s="1"/>
  <c r="N52" i="41"/>
  <c r="M49" i="41"/>
  <c r="L33" i="41"/>
  <c r="L53" i="41" s="1"/>
  <c r="H70" i="38"/>
  <c r="T70" i="38"/>
  <c r="T72" i="38" s="1"/>
  <c r="T73" i="38" s="1"/>
  <c r="X70" i="38"/>
  <c r="X72" i="38" s="1"/>
  <c r="X73" i="38" s="1"/>
  <c r="H93" i="38"/>
  <c r="H95" i="38" s="1"/>
  <c r="H96" i="38" s="1"/>
  <c r="P87" i="38"/>
  <c r="K92" i="38"/>
  <c r="J92" i="38"/>
  <c r="L91" i="38" s="1"/>
  <c r="L92" i="38" s="1"/>
  <c r="D93" i="38"/>
  <c r="G95" i="38"/>
  <c r="G96" i="38" s="1"/>
  <c r="O81" i="38"/>
  <c r="I52" i="38"/>
  <c r="D124" i="38"/>
  <c r="D125" i="38" s="1"/>
  <c r="D126" i="38" s="1"/>
  <c r="H124" i="38"/>
  <c r="X69" i="38"/>
  <c r="Y59" i="38"/>
  <c r="Y60" i="38"/>
  <c r="G126" i="38"/>
  <c r="G127" i="38" s="1"/>
  <c r="F125" i="38"/>
  <c r="K116" i="38"/>
  <c r="O116" i="38" s="1"/>
  <c r="U116" i="38"/>
  <c r="U117" i="38" s="1"/>
  <c r="T125" i="38"/>
  <c r="U114" i="38"/>
  <c r="U61" i="38"/>
  <c r="T69" i="38"/>
  <c r="U58" i="38"/>
  <c r="C146" i="38"/>
  <c r="D146" i="38"/>
  <c r="P70" i="38"/>
  <c r="L70" i="38"/>
  <c r="L116" i="38"/>
  <c r="D69" i="38"/>
  <c r="D70" i="38" s="1"/>
  <c r="T36" i="38"/>
  <c r="T37" i="38" s="1"/>
  <c r="T40" i="38"/>
  <c r="S41" i="38"/>
  <c r="S43" i="38" s="1"/>
  <c r="S44" i="38" s="1"/>
  <c r="L48" i="38"/>
  <c r="J46" i="38"/>
  <c r="K46" i="38"/>
  <c r="I46" i="38"/>
  <c r="L46" i="38"/>
  <c r="N48" i="41"/>
  <c r="M30" i="41"/>
  <c r="M31" i="41"/>
  <c r="N31" i="41"/>
  <c r="N32" i="41"/>
  <c r="M32" i="41"/>
  <c r="O90" i="38"/>
  <c r="U123" i="38"/>
  <c r="N47" i="41"/>
  <c r="U67" i="38"/>
  <c r="N71" i="41"/>
  <c r="N72" i="41"/>
  <c r="N46" i="41"/>
  <c r="K123" i="38"/>
  <c r="L123" i="38"/>
  <c r="P90" i="38"/>
  <c r="L79" i="41" l="1"/>
  <c r="N75" i="41"/>
  <c r="N74" i="41"/>
  <c r="N49" i="41"/>
  <c r="N33" i="41"/>
  <c r="M33" i="41"/>
  <c r="M53" i="41" s="1"/>
  <c r="H71" i="38"/>
  <c r="U70" i="38"/>
  <c r="U72" i="38" s="1"/>
  <c r="U73" i="38" s="1"/>
  <c r="Y61" i="38"/>
  <c r="Y71" i="38"/>
  <c r="H97" i="38"/>
  <c r="O92" i="38"/>
  <c r="N92" i="38"/>
  <c r="P91" i="38" s="1"/>
  <c r="P92" i="38" s="1"/>
  <c r="K96" i="38"/>
  <c r="G129" i="38"/>
  <c r="H125" i="38"/>
  <c r="H126" i="38"/>
  <c r="H127" i="38" s="1"/>
  <c r="H129" i="38" s="1"/>
  <c r="U125" i="38"/>
  <c r="U126" i="38" s="1"/>
  <c r="T129" i="38" s="1"/>
  <c r="U69" i="38"/>
  <c r="P116" i="38"/>
  <c r="K125" i="38"/>
  <c r="J125" i="38"/>
  <c r="L124" i="38" s="1"/>
  <c r="L125" i="38" s="1"/>
  <c r="L47" i="38"/>
  <c r="F40" i="38"/>
  <c r="C28" i="39"/>
  <c r="C29" i="39" s="1"/>
  <c r="C15" i="39"/>
  <c r="C40" i="38"/>
  <c r="A39" i="38" s="1"/>
  <c r="D40" i="38"/>
  <c r="E40" i="38"/>
  <c r="G22" i="38"/>
  <c r="G21" i="38"/>
  <c r="H10" i="38"/>
  <c r="H11" i="38"/>
  <c r="F12" i="38"/>
  <c r="E45" i="38"/>
  <c r="D45" i="38"/>
  <c r="P123" i="38"/>
  <c r="R17" i="37" a="1"/>
  <c r="N30" i="41"/>
  <c r="F45" i="38"/>
  <c r="O123" i="38"/>
  <c r="R13" i="37"/>
  <c r="R5" i="37" a="1"/>
  <c r="R32" i="37"/>
  <c r="E14" i="39"/>
  <c r="E15" i="39"/>
  <c r="K25" i="38"/>
  <c r="U12" i="37"/>
  <c r="Y67" i="38"/>
  <c r="C45" i="38"/>
  <c r="E27" i="39"/>
  <c r="N73" i="41"/>
  <c r="N53" i="41" l="1"/>
  <c r="N79" i="41" s="1"/>
  <c r="M79" i="41"/>
  <c r="Y70" i="38"/>
  <c r="Y72" i="38" s="1"/>
  <c r="Y73" i="38" s="1"/>
  <c r="Y69" i="38"/>
  <c r="L93" i="38"/>
  <c r="P93" i="38"/>
  <c r="O125" i="38"/>
  <c r="N125" i="38"/>
  <c r="P124" i="38" s="1"/>
  <c r="P125" i="38" s="1"/>
  <c r="F48" i="38"/>
  <c r="L49" i="38" s="1"/>
  <c r="F46" i="38"/>
  <c r="C46" i="38"/>
  <c r="C30" i="39"/>
  <c r="C31" i="39" s="1"/>
  <c r="R19" i="37"/>
  <c r="R17" i="37"/>
  <c r="R20" i="37"/>
  <c r="R23" i="37"/>
  <c r="R18" i="37"/>
  <c r="R21" i="37"/>
  <c r="R24" i="37"/>
  <c r="R22" i="37"/>
  <c r="R7" i="37"/>
  <c r="S7" i="37" s="1"/>
  <c r="R11" i="37"/>
  <c r="S11" i="37" s="1"/>
  <c r="R12" i="37"/>
  <c r="S12" i="37" s="1"/>
  <c r="R6" i="37"/>
  <c r="S6" i="37" s="1"/>
  <c r="R10" i="37"/>
  <c r="S10" i="37" s="1"/>
  <c r="R8" i="37"/>
  <c r="R5" i="37"/>
  <c r="S5" i="37" s="1"/>
  <c r="R9" i="37"/>
  <c r="S9" i="37" s="1"/>
  <c r="C16" i="39"/>
  <c r="E29" i="39"/>
  <c r="E28" i="39"/>
  <c r="L126" i="38" l="1"/>
  <c r="P126" i="38"/>
  <c r="F47" i="38"/>
  <c r="U21" i="37"/>
  <c r="S21" i="37"/>
  <c r="C17" i="39"/>
  <c r="S18" i="37"/>
  <c r="U18" i="37"/>
  <c r="C32" i="39"/>
  <c r="S23" i="37"/>
  <c r="U23" i="37"/>
  <c r="S20" i="37"/>
  <c r="U20" i="37"/>
  <c r="T14" i="37"/>
  <c r="U17" i="37"/>
  <c r="U16" i="37" s="1"/>
  <c r="S17" i="37"/>
  <c r="S19" i="37"/>
  <c r="U19" i="37"/>
  <c r="S14" i="37"/>
  <c r="S8" i="37"/>
  <c r="S22" i="37"/>
  <c r="U22" i="37"/>
  <c r="T16" i="37" s="1"/>
  <c r="U24" i="37"/>
  <c r="S24" i="37"/>
  <c r="E16" i="39"/>
  <c r="E30" i="39"/>
  <c r="E31" i="39"/>
  <c r="C33" i="39" l="1"/>
  <c r="C18" i="39"/>
  <c r="C19" i="39" l="1"/>
  <c r="C34" i="39"/>
  <c r="E18" i="39"/>
  <c r="E33" i="39"/>
  <c r="E17" i="39"/>
  <c r="E32" i="39"/>
  <c r="C35" i="39" l="1"/>
  <c r="C20" i="39"/>
  <c r="E19" i="39"/>
  <c r="E34" i="39"/>
  <c r="C21" i="39" l="1"/>
  <c r="C36" i="39"/>
  <c r="E35" i="39"/>
  <c r="E20" i="39"/>
  <c r="C37" i="39" l="1"/>
  <c r="C22" i="39"/>
  <c r="E36" i="39"/>
  <c r="E21" i="39"/>
  <c r="C23" i="39" l="1"/>
  <c r="C38" i="39"/>
  <c r="E22" i="39"/>
  <c r="E37" i="39"/>
  <c r="C39" i="39" l="1"/>
  <c r="C24" i="39"/>
  <c r="E39" i="39"/>
  <c r="E23" i="39"/>
  <c r="E38" i="39"/>
  <c r="C25" i="39" l="1"/>
  <c r="E24" i="39"/>
  <c r="C26" i="39" l="1"/>
  <c r="E26" i="39"/>
  <c r="E25" i="3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<sst xmlns="http://schemas.openxmlformats.org/spreadsheetml/2006/main" count="2474" uniqueCount="288">
  <si>
    <t>Currency</t>
  </si>
  <si>
    <t>Multiplier</t>
  </si>
  <si>
    <t>E / A</t>
  </si>
  <si>
    <t>Day Basis</t>
  </si>
  <si>
    <t>Option Class</t>
  </si>
  <si>
    <t>Numerix Code</t>
  </si>
  <si>
    <t>ARS</t>
  </si>
  <si>
    <t>E</t>
  </si>
  <si>
    <t>vanilla</t>
  </si>
  <si>
    <t>ATS</t>
  </si>
  <si>
    <t>ot</t>
  </si>
  <si>
    <t>AUD</t>
  </si>
  <si>
    <t>A</t>
  </si>
  <si>
    <t>iot</t>
  </si>
  <si>
    <t>BASKET</t>
  </si>
  <si>
    <t>otko</t>
  </si>
  <si>
    <t>BEF</t>
  </si>
  <si>
    <t>iotko</t>
  </si>
  <si>
    <t>BRL</t>
  </si>
  <si>
    <t>dko</t>
  </si>
  <si>
    <t>CAD</t>
  </si>
  <si>
    <t>dki</t>
  </si>
  <si>
    <t>CHF</t>
  </si>
  <si>
    <t>wdko</t>
  </si>
  <si>
    <t>CLP</t>
  </si>
  <si>
    <t>wdki</t>
  </si>
  <si>
    <t>DEM</t>
  </si>
  <si>
    <t>w_ko_dko</t>
  </si>
  <si>
    <t>DKK</t>
  </si>
  <si>
    <t>ESP</t>
  </si>
  <si>
    <t>EUR</t>
  </si>
  <si>
    <t>FIM</t>
  </si>
  <si>
    <t>FRF</t>
  </si>
  <si>
    <t>GBP</t>
  </si>
  <si>
    <t>HKD</t>
  </si>
  <si>
    <t>HUF</t>
  </si>
  <si>
    <t>IDR</t>
  </si>
  <si>
    <t>IEP</t>
  </si>
  <si>
    <t>ILS</t>
  </si>
  <si>
    <t>ITL</t>
  </si>
  <si>
    <t>JPY</t>
  </si>
  <si>
    <t>KRW</t>
  </si>
  <si>
    <t>MXN</t>
  </si>
  <si>
    <t>MYR</t>
  </si>
  <si>
    <t>NLG</t>
  </si>
  <si>
    <t>NOK</t>
  </si>
  <si>
    <t>NZD</t>
  </si>
  <si>
    <t>PHP</t>
  </si>
  <si>
    <t>PTE</t>
  </si>
  <si>
    <t>SEK</t>
  </si>
  <si>
    <t>SGD</t>
  </si>
  <si>
    <t>THB</t>
  </si>
  <si>
    <t>TWD</t>
  </si>
  <si>
    <t>USD</t>
  </si>
  <si>
    <t>XAU</t>
  </si>
  <si>
    <t>XAG</t>
  </si>
  <si>
    <t>XPD</t>
  </si>
  <si>
    <t>XPT</t>
  </si>
  <si>
    <t>ZAR</t>
  </si>
  <si>
    <t>optionType</t>
  </si>
  <si>
    <t>ccyPair</t>
  </si>
  <si>
    <t>payoutCcy</t>
  </si>
  <si>
    <t>forePutOrCall</t>
  </si>
  <si>
    <t>horizon</t>
  </si>
  <si>
    <t>expiry</t>
  </si>
  <si>
    <t>strike</t>
  </si>
  <si>
    <t>spot</t>
  </si>
  <si>
    <t>forward</t>
  </si>
  <si>
    <t>foreDepo</t>
  </si>
  <si>
    <t>expiryVol</t>
  </si>
  <si>
    <t>rr</t>
  </si>
  <si>
    <t>fly</t>
  </si>
  <si>
    <t>highBar</t>
  </si>
  <si>
    <t>lowBar</t>
  </si>
  <si>
    <t>tradeSpot</t>
  </si>
  <si>
    <t>barrierDate</t>
  </si>
  <si>
    <t>barrierForward</t>
  </si>
  <si>
    <t>barrierDepo</t>
  </si>
  <si>
    <t>LHS_RHS</t>
  </si>
  <si>
    <t>DNT</t>
  </si>
  <si>
    <t>AUDUSD</t>
  </si>
  <si>
    <t>L</t>
  </si>
  <si>
    <t>R</t>
  </si>
  <si>
    <t>espilon</t>
  </si>
  <si>
    <t>exoticTV</t>
  </si>
  <si>
    <t>+ wgt zeta</t>
  </si>
  <si>
    <t>+ decayed</t>
  </si>
  <si>
    <t>+ full</t>
  </si>
  <si>
    <t>nt prob</t>
  </si>
  <si>
    <t>wgt zeta</t>
  </si>
  <si>
    <t>decayed</t>
  </si>
  <si>
    <t>full</t>
  </si>
  <si>
    <t>barrierVol</t>
  </si>
  <si>
    <t>NEW</t>
  </si>
  <si>
    <t>EURUSD</t>
  </si>
  <si>
    <t>USDJPY</t>
  </si>
  <si>
    <t>df</t>
  </si>
  <si>
    <t>spotdate</t>
  </si>
  <si>
    <t>delivery</t>
  </si>
  <si>
    <t>d2</t>
  </si>
  <si>
    <t>sigmaRtT</t>
  </si>
  <si>
    <t>N(d2)</t>
  </si>
  <si>
    <t>K</t>
  </si>
  <si>
    <t>F</t>
  </si>
  <si>
    <t>N(-d2)</t>
  </si>
  <si>
    <t>zeroDeltaStraddleStrike(K11,(K8-K7)/365,K13,"L")</t>
  </si>
  <si>
    <t>K7+365/4</t>
  </si>
  <si>
    <t>vanillaVolga((K8-K7)/365,"C",L7,K10,1,1,K13,"L")</t>
  </si>
  <si>
    <t>vanillaVolga((K8-K7)/365,"C",L7,K10,0.99,0.99,K13,"R")</t>
  </si>
  <si>
    <t>K10</t>
  </si>
  <si>
    <t>DepoDiscountFactor(K12,(K8-K7)/360,360)</t>
  </si>
  <si>
    <t>Vanilla(K4,"P",K7,K8,K9,K10,K11,K12,K5,K13,"DELTA","L")</t>
  </si>
  <si>
    <t>computevaluedate(K4,K7)</t>
  </si>
  <si>
    <t>computevaluedate(K5,K8)</t>
  </si>
  <si>
    <t>DepoDiscountFactor(K12,K28-K27,360)</t>
  </si>
  <si>
    <t>K13*SQRT((K8-K7)/365)</t>
  </si>
  <si>
    <t>LN(K11/K9)/K30-K30/2</t>
  </si>
  <si>
    <t>NORMSDIST(K31)</t>
  </si>
  <si>
    <t>NORMSDIST(-K31)</t>
  </si>
  <si>
    <t>K9</t>
  </si>
  <si>
    <t>K11</t>
  </si>
  <si>
    <t>K34/K35*K29*K32</t>
  </si>
  <si>
    <t>-K34/K35*K29*K33</t>
  </si>
  <si>
    <t>ABS(K37-K26)</t>
  </si>
  <si>
    <t>G22</t>
  </si>
  <si>
    <t>v0</t>
  </si>
  <si>
    <t>q</t>
  </si>
  <si>
    <t>rho</t>
  </si>
  <si>
    <t>kappa</t>
  </si>
  <si>
    <t>xi</t>
  </si>
  <si>
    <t>spotSteps</t>
  </si>
  <si>
    <t>T</t>
  </si>
  <si>
    <t>theta</t>
  </si>
  <si>
    <t>Heston_eu_fd(D10,D11,D12,D13,D14,D15,D16,D17,D18,D19,D20)</t>
  </si>
  <si>
    <t>EUR/USD</t>
  </si>
  <si>
    <t>C</t>
  </si>
  <si>
    <t>Digital(currencyPair,payoutCurrency,forePutOrCall,horizon,expiry,strike,spot,forward,depo,depoCurrency,vol,returnCode,returnPipsOrPct)</t>
  </si>
  <si>
    <t>premium</t>
  </si>
  <si>
    <t>delta</t>
  </si>
  <si>
    <t>Vanilla</t>
  </si>
  <si>
    <t>vanilla(currencyPair,forePutOrCall,horizon,expiry,strike,spot,forward,depo,depoCurrency,vol,returnCode,returnPipsOrPct)</t>
  </si>
  <si>
    <t>currencyPair</t>
  </si>
  <si>
    <t>PC</t>
  </si>
  <si>
    <t>depo</t>
  </si>
  <si>
    <t>depoCcy</t>
  </si>
  <si>
    <t>vol</t>
  </si>
  <si>
    <t>returnCode</t>
  </si>
  <si>
    <t>pips or Pct</t>
  </si>
  <si>
    <t>RHS</t>
  </si>
  <si>
    <t>gamma</t>
  </si>
  <si>
    <t>vega = F * df_cash * Sqrt(Tv) * cdfNormPrime(d1)</t>
  </si>
  <si>
    <t>volga = vega * d1 * d2 / vol</t>
  </si>
  <si>
    <t>d1 = (log(F/K) - 0.5*termVol^2)/termVol</t>
  </si>
  <si>
    <t>d2 = d1 - termVol</t>
  </si>
  <si>
    <t>termVol = sigma(sqrt(T))</t>
  </si>
  <si>
    <t>F/K</t>
  </si>
  <si>
    <t>sigma</t>
  </si>
  <si>
    <t>volga</t>
  </si>
  <si>
    <t>vega</t>
  </si>
  <si>
    <t>LHS</t>
  </si>
  <si>
    <t>x</t>
  </si>
  <si>
    <t>-x</t>
  </si>
  <si>
    <t>N(x) - N(-x)</t>
  </si>
  <si>
    <t>N(x)</t>
  </si>
  <si>
    <t>sigmaRTt</t>
  </si>
  <si>
    <t>Calendar Spread</t>
  </si>
  <si>
    <t>notional</t>
  </si>
  <si>
    <t>forwardVol</t>
  </si>
  <si>
    <t>CcySpread</t>
  </si>
  <si>
    <t>GBPUSD</t>
  </si>
  <si>
    <t>THETA</t>
  </si>
  <si>
    <t>E(dS)</t>
  </si>
  <si>
    <t>Gamma PL</t>
  </si>
  <si>
    <t>Theta PL</t>
  </si>
  <si>
    <t>Gamma via Delta</t>
  </si>
  <si>
    <t>1% gamma</t>
  </si>
  <si>
    <t>1 day move dDelta</t>
  </si>
  <si>
    <t>Expected Gamma PL</t>
  </si>
  <si>
    <t>P</t>
  </si>
  <si>
    <t>forePutCall</t>
  </si>
  <si>
    <t>S</t>
  </si>
  <si>
    <t>Forward</t>
  </si>
  <si>
    <t>Depo</t>
  </si>
  <si>
    <t>WhichDepo</t>
  </si>
  <si>
    <t>return</t>
  </si>
  <si>
    <t>pct/Pip</t>
  </si>
  <si>
    <t>Call</t>
  </si>
  <si>
    <t>barrier</t>
  </si>
  <si>
    <t>TradeSpot</t>
  </si>
  <si>
    <t>Put</t>
  </si>
  <si>
    <t>Notional</t>
  </si>
  <si>
    <t>Spot</t>
  </si>
  <si>
    <t>gammaAmt</t>
  </si>
  <si>
    <t>Hedge Gamma</t>
  </si>
  <si>
    <t>Portfolio</t>
  </si>
  <si>
    <t>digital</t>
  </si>
  <si>
    <t>strike1</t>
  </si>
  <si>
    <t>strike2</t>
  </si>
  <si>
    <t>strike3</t>
  </si>
  <si>
    <t>amt1</t>
  </si>
  <si>
    <t>amt2</t>
  </si>
  <si>
    <t>amt3</t>
  </si>
  <si>
    <t>zeta1</t>
  </si>
  <si>
    <t>vega1</t>
  </si>
  <si>
    <t>volga1</t>
  </si>
  <si>
    <t>volga2</t>
  </si>
  <si>
    <t>volga3</t>
  </si>
  <si>
    <t>skewvol</t>
  </si>
  <si>
    <t>vanna1</t>
  </si>
  <si>
    <t>zeta2</t>
  </si>
  <si>
    <t>vega2</t>
  </si>
  <si>
    <t>vanna2</t>
  </si>
  <si>
    <t>zeta3</t>
  </si>
  <si>
    <t>vega3</t>
  </si>
  <si>
    <t>vanna3</t>
  </si>
  <si>
    <t>JPY depo</t>
  </si>
  <si>
    <t>vanna</t>
  </si>
  <si>
    <t>ATM</t>
  </si>
  <si>
    <t>up 25</t>
  </si>
  <si>
    <t>down 25</t>
  </si>
  <si>
    <t>BS price</t>
  </si>
  <si>
    <t>Skew Price</t>
  </si>
  <si>
    <t>Zeta</t>
  </si>
  <si>
    <t>vegaAmt</t>
  </si>
  <si>
    <t>high barrier</t>
  </si>
  <si>
    <t>low barrier</t>
  </si>
  <si>
    <t>ATM option has almost no vol gamma</t>
  </si>
  <si>
    <t>Both wing options have positve vol gamma</t>
  </si>
  <si>
    <t>Hedge vega</t>
  </si>
  <si>
    <t>RKO vega-hedge by ATM option and Risk Reversal</t>
  </si>
  <si>
    <t>Short Call</t>
  </si>
  <si>
    <t>Long Put</t>
  </si>
  <si>
    <t>Vega Profile of Short Risk-Reversal</t>
  </si>
  <si>
    <t>Vega</t>
  </si>
  <si>
    <t>Downside</t>
  </si>
  <si>
    <t>Upside</t>
  </si>
  <si>
    <t>Adjustment</t>
  </si>
  <si>
    <t>Transaction</t>
  </si>
  <si>
    <t>100 USDJPY call, RKO at 120</t>
  </si>
  <si>
    <t>TradeDate</t>
  </si>
  <si>
    <t>Expiry</t>
  </si>
  <si>
    <t>USDJPY spot</t>
  </si>
  <si>
    <t>USDJPY forward</t>
  </si>
  <si>
    <t>USD depo</t>
  </si>
  <si>
    <t>ATM vol</t>
  </si>
  <si>
    <t>RR</t>
  </si>
  <si>
    <t>Butterfly</t>
  </si>
  <si>
    <t>Vol</t>
  </si>
  <si>
    <t>Delta</t>
  </si>
  <si>
    <t>Upside USD call</t>
  </si>
  <si>
    <t>Downside USD put</t>
  </si>
  <si>
    <t>ATM vol price</t>
  </si>
  <si>
    <t>Skew Vol price</t>
  </si>
  <si>
    <t>upside</t>
  </si>
  <si>
    <t>downside</t>
  </si>
  <si>
    <t>Strike</t>
  </si>
  <si>
    <t>Delta-neutral straddle</t>
  </si>
  <si>
    <t>Vanna</t>
  </si>
  <si>
    <t>Vol gamma</t>
  </si>
  <si>
    <t>flat vol price</t>
  </si>
  <si>
    <t>vol up vega</t>
  </si>
  <si>
    <t>vol down vega</t>
  </si>
  <si>
    <t>Skew Value</t>
  </si>
  <si>
    <t>Survival Probability</t>
  </si>
  <si>
    <t>Totals</t>
  </si>
  <si>
    <t>Unit Volga</t>
  </si>
  <si>
    <t>RKO</t>
  </si>
  <si>
    <t>Straddle</t>
  </si>
  <si>
    <t>ATM price</t>
  </si>
  <si>
    <t>25 Delta USD put</t>
  </si>
  <si>
    <t>25 Delta USD call</t>
  </si>
  <si>
    <t>Unit Vanna</t>
  </si>
  <si>
    <t>25 Delta Call</t>
  </si>
  <si>
    <t>25 Delta Put</t>
  </si>
  <si>
    <t>Trade Details</t>
  </si>
  <si>
    <t>n</t>
  </si>
  <si>
    <t>2^log(n)</t>
  </si>
  <si>
    <t>2^(2^log(n))</t>
  </si>
  <si>
    <t>n^2*log(n)</t>
  </si>
  <si>
    <t>n^(5/2)</t>
  </si>
  <si>
    <t>2^(n^2)</t>
  </si>
  <si>
    <t>a</t>
  </si>
  <si>
    <t>b</t>
  </si>
  <si>
    <t>e</t>
  </si>
  <si>
    <t>c</t>
  </si>
  <si>
    <t>(2^n)^2</t>
  </si>
  <si>
    <t>d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</si>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</sst>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&quot;-&quot;_);_(@_)"/>
    <numFmt numFmtId="165" formatCode="_(* #,##0_);_(* \(#,##0\);_(&quot;-&quot;_);_(@_)"/>
    <numFmt numFmtId="166" formatCode="0.0000%"/>
    <numFmt numFmtId="167" formatCode="0.0000"/>
    <numFmt numFmtId="168" formatCode="0.000%"/>
    <numFmt numFmtId="169" formatCode="_(&quot;$&quot;* #,##0.0000_);_(&quot;$&quot;* \(#,##0.0000\);_(&quot;$&quot;* &quot;-&quot;??_);_(@_)"/>
    <numFmt numFmtId="170" formatCode="_(* #,##0.00000000_);_(* \(#,##0.00000000\);_(* &quot;-&quot;??_);_(@_)"/>
    <numFmt numFmtId="171" formatCode="_(* #,##0.0000000_);_(* \(#,##0.0000000\);_(* &quot;-&quot;??_);_(@_)"/>
    <numFmt numFmtId="172" formatCode="0.000000"/>
    <numFmt numFmtId="173" formatCode="0.00000"/>
    <numFmt numFmtId="174" formatCode="_(* #,##0.000_);_(* \(#,##0.000\);_(* &quot;-&quot;??_);_(@_)"/>
    <numFmt numFmtId="175" formatCode="0.00000%"/>
    <numFmt numFmtId="176" formatCode="_(* #,##0.0000_);_(* \(#,##0.0000\);_(* &quot;-&quot;??_);_(@_)"/>
    <numFmt numFmtId="177" formatCode="_(* #,##0.00000_);_(* \(#,##0.00000\);_(* &quot;-&quot;??_);_(@_)"/>
    <numFmt numFmtId="178" formatCode="#,##0.0000000"/>
    <numFmt numFmtId="179" formatCode="#,##0.0000"/>
    <numFmt numFmtId="180" formatCode="0.0%"/>
  </numFmts>
  <fonts count="1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</cellStyleXfs>
  <cellXfs count="150">
    <xf numFmtId="0" fontId="0" fillId="0" borderId="0" xfId="0"/>
    <xf numFmtId="0" fontId="3" fillId="2" borderId="1" xfId="3" applyFont="1" applyFill="1" applyBorder="1" applyAlignment="1">
      <alignment horizontal="center"/>
    </xf>
    <xf numFmtId="0" fontId="3" fillId="0" borderId="0" xfId="0" applyFont="1"/>
    <xf numFmtId="0" fontId="3" fillId="0" borderId="0" xfId="3" applyFont="1"/>
    <xf numFmtId="164" fontId="4" fillId="0" borderId="2" xfId="3" applyNumberFormat="1" applyFont="1" applyBorder="1" applyAlignment="1">
      <alignment horizontal="center" vertical="center"/>
    </xf>
    <xf numFmtId="165" fontId="3" fillId="0" borderId="3" xfId="3" applyNumberFormat="1" applyFont="1" applyBorder="1" applyAlignment="1">
      <alignment horizontal="center" vertical="center"/>
    </xf>
    <xf numFmtId="164" fontId="3" fillId="0" borderId="3" xfId="3" applyNumberFormat="1" applyFont="1" applyBorder="1" applyAlignment="1">
      <alignment horizontal="center" vertical="center"/>
    </xf>
    <xf numFmtId="165" fontId="3" fillId="0" borderId="2" xfId="3" applyNumberFormat="1" applyFont="1" applyBorder="1" applyAlignment="1">
      <alignment horizontal="center" vertical="center"/>
    </xf>
    <xf numFmtId="164" fontId="3" fillId="0" borderId="4" xfId="3" applyNumberFormat="1" applyFont="1" applyBorder="1" applyAlignment="1">
      <alignment horizontal="center" vertical="center"/>
    </xf>
    <xf numFmtId="165" fontId="3" fillId="0" borderId="4" xfId="3" applyNumberFormat="1" applyFont="1" applyBorder="1" applyAlignment="1">
      <alignment horizontal="center" vertical="center"/>
    </xf>
    <xf numFmtId="165" fontId="3" fillId="0" borderId="5" xfId="3" applyNumberFormat="1" applyFont="1" applyBorder="1" applyAlignment="1">
      <alignment horizontal="center" vertical="center"/>
    </xf>
    <xf numFmtId="164" fontId="3" fillId="0" borderId="5" xfId="3" applyNumberFormat="1" applyFont="1" applyBorder="1" applyAlignment="1">
      <alignment horizontal="center" vertical="center"/>
    </xf>
    <xf numFmtId="164" fontId="4" fillId="0" borderId="4" xfId="3" applyNumberFormat="1" applyFont="1" applyBorder="1" applyAlignment="1">
      <alignment horizontal="center" vertical="center"/>
    </xf>
    <xf numFmtId="164" fontId="3" fillId="0" borderId="6" xfId="3" applyNumberFormat="1" applyFont="1" applyBorder="1" applyAlignment="1">
      <alignment horizontal="center" vertical="center"/>
    </xf>
    <xf numFmtId="165" fontId="3" fillId="0" borderId="6" xfId="3" applyNumberFormat="1" applyFont="1" applyBorder="1" applyAlignment="1">
      <alignment horizontal="center" vertical="center"/>
    </xf>
    <xf numFmtId="166" fontId="3" fillId="0" borderId="0" xfId="4" applyNumberFormat="1" applyFont="1"/>
    <xf numFmtId="10" fontId="3" fillId="0" borderId="0" xfId="4" applyNumberFormat="1" applyFont="1"/>
    <xf numFmtId="165" fontId="4" fillId="0" borderId="4" xfId="3" applyNumberFormat="1" applyFont="1" applyBorder="1" applyAlignment="1">
      <alignment horizontal="center" vertical="center"/>
    </xf>
    <xf numFmtId="10" fontId="3" fillId="0" borderId="0" xfId="0" applyNumberFormat="1" applyFont="1"/>
    <xf numFmtId="9" fontId="3" fillId="0" borderId="0" xfId="3" applyNumberFormat="1" applyFont="1"/>
    <xf numFmtId="165" fontId="3" fillId="0" borderId="7" xfId="3" applyNumberFormat="1" applyFont="1" applyBorder="1" applyAlignment="1">
      <alignment horizontal="center" vertical="center"/>
    </xf>
    <xf numFmtId="164" fontId="3" fillId="0" borderId="7" xfId="3" applyNumberFormat="1" applyFont="1" applyBorder="1" applyAlignment="1">
      <alignment horizontal="center" vertical="center"/>
    </xf>
    <xf numFmtId="178" fontId="3" fillId="0" borderId="0" xfId="4" applyNumberFormat="1" applyFont="1"/>
    <xf numFmtId="165" fontId="3" fillId="0" borderId="0" xfId="3" applyNumberFormat="1" applyFont="1" applyBorder="1" applyAlignment="1">
      <alignment horizontal="center" vertical="center"/>
    </xf>
    <xf numFmtId="164" fontId="3" fillId="0" borderId="0" xfId="3" applyNumberFormat="1" applyFont="1" applyBorder="1" applyAlignment="1">
      <alignment horizontal="center" vertical="center"/>
    </xf>
    <xf numFmtId="170" fontId="3" fillId="0" borderId="0" xfId="1" applyNumberFormat="1" applyFont="1"/>
    <xf numFmtId="175" fontId="3" fillId="0" borderId="0" xfId="4" applyNumberFormat="1" applyFont="1"/>
    <xf numFmtId="43" fontId="3" fillId="0" borderId="0" xfId="1" applyFont="1"/>
    <xf numFmtId="174" fontId="3" fillId="0" borderId="0" xfId="1" applyNumberFormat="1" applyFont="1"/>
    <xf numFmtId="166" fontId="3" fillId="0" borderId="0" xfId="3" applyNumberFormat="1" applyFont="1"/>
    <xf numFmtId="166" fontId="3" fillId="0" borderId="0" xfId="0" applyNumberFormat="1" applyFont="1"/>
    <xf numFmtId="173" fontId="3" fillId="0" borderId="0" xfId="0" applyNumberFormat="1" applyFont="1"/>
    <xf numFmtId="4" fontId="3" fillId="0" borderId="0" xfId="0" applyNumberFormat="1" applyFont="1"/>
    <xf numFmtId="172" fontId="3" fillId="0" borderId="0" xfId="3" applyNumberFormat="1" applyFont="1"/>
    <xf numFmtId="14" fontId="3" fillId="0" borderId="0" xfId="0" applyNumberFormat="1" applyFont="1"/>
    <xf numFmtId="169" fontId="3" fillId="0" borderId="0" xfId="2" applyNumberFormat="1" applyFont="1"/>
    <xf numFmtId="173" fontId="3" fillId="0" borderId="0" xfId="0" applyNumberFormat="1" applyFont="1" applyAlignment="1">
      <alignment horizontal="right"/>
    </xf>
    <xf numFmtId="11" fontId="3" fillId="0" borderId="0" xfId="3" applyNumberFormat="1" applyFont="1"/>
    <xf numFmtId="172" fontId="3" fillId="0" borderId="0" xfId="0" applyNumberFormat="1" applyFont="1"/>
    <xf numFmtId="172" fontId="3" fillId="0" borderId="0" xfId="1" applyNumberFormat="1" applyFont="1"/>
    <xf numFmtId="172" fontId="3" fillId="0" borderId="0" xfId="3" quotePrefix="1" applyNumberFormat="1" applyFont="1"/>
    <xf numFmtId="0" fontId="3" fillId="0" borderId="0" xfId="3" quotePrefix="1" applyFont="1"/>
    <xf numFmtId="165" fontId="4" fillId="0" borderId="0" xfId="3" applyNumberFormat="1" applyFont="1" applyBorder="1" applyAlignment="1">
      <alignment horizontal="center" vertical="center"/>
    </xf>
    <xf numFmtId="168" fontId="3" fillId="0" borderId="0" xfId="2" applyNumberFormat="1" applyFont="1"/>
    <xf numFmtId="176" fontId="3" fillId="0" borderId="0" xfId="3" applyNumberFormat="1" applyFont="1"/>
    <xf numFmtId="177" fontId="3" fillId="0" borderId="0" xfId="1" applyNumberFormat="1" applyFont="1"/>
    <xf numFmtId="171" fontId="3" fillId="0" borderId="0" xfId="1" applyNumberFormat="1" applyFont="1"/>
    <xf numFmtId="171" fontId="3" fillId="0" borderId="0" xfId="3" applyNumberFormat="1" applyFont="1"/>
    <xf numFmtId="168" fontId="3" fillId="0" borderId="0" xfId="4" applyNumberFormat="1" applyFont="1"/>
    <xf numFmtId="15" fontId="3" fillId="0" borderId="0" xfId="0" applyNumberFormat="1" applyFont="1"/>
    <xf numFmtId="11" fontId="3" fillId="0" borderId="0" xfId="0" applyNumberFormat="1" applyFont="1"/>
    <xf numFmtId="43" fontId="3" fillId="0" borderId="0" xfId="1" quotePrefix="1" applyFont="1"/>
    <xf numFmtId="4" fontId="3" fillId="0" borderId="0" xfId="3" applyNumberFormat="1" applyFont="1"/>
    <xf numFmtId="4" fontId="3" fillId="0" borderId="0" xfId="2" applyNumberFormat="1" applyFont="1"/>
    <xf numFmtId="10" fontId="0" fillId="0" borderId="0" xfId="0" applyNumberFormat="1"/>
    <xf numFmtId="9" fontId="0" fillId="0" borderId="0" xfId="0" applyNumberFormat="1"/>
    <xf numFmtId="43" fontId="0" fillId="0" borderId="0" xfId="1" applyFont="1"/>
    <xf numFmtId="4" fontId="0" fillId="0" borderId="0" xfId="0" applyNumberFormat="1"/>
    <xf numFmtId="10" fontId="0" fillId="0" borderId="0" xfId="4" applyNumberFormat="1" applyFont="1"/>
    <xf numFmtId="168" fontId="0" fillId="0" borderId="0" xfId="4" applyNumberFormat="1" applyFont="1"/>
    <xf numFmtId="168" fontId="3" fillId="0" borderId="0" xfId="4" applyNumberFormat="1" applyFont="1" applyBorder="1" applyAlignment="1">
      <alignment horizontal="center" vertical="center"/>
    </xf>
    <xf numFmtId="14" fontId="0" fillId="0" borderId="0" xfId="0" applyNumberFormat="1"/>
    <xf numFmtId="167" fontId="0" fillId="0" borderId="0" xfId="0" applyNumberFormat="1"/>
    <xf numFmtId="179" fontId="0" fillId="0" borderId="0" xfId="0" applyNumberFormat="1"/>
    <xf numFmtId="0" fontId="0" fillId="0" borderId="0" xfId="0" quotePrefix="1"/>
    <xf numFmtId="3" fontId="0" fillId="0" borderId="0" xfId="0" applyNumberFormat="1"/>
    <xf numFmtId="0" fontId="7" fillId="5" borderId="0" xfId="7"/>
    <xf numFmtId="3" fontId="6" fillId="4" borderId="0" xfId="6" applyNumberFormat="1"/>
    <xf numFmtId="3" fontId="5" fillId="3" borderId="0" xfId="5" applyNumberFormat="1"/>
    <xf numFmtId="3" fontId="0" fillId="0" borderId="0" xfId="4" applyNumberFormat="1" applyFont="1"/>
    <xf numFmtId="4" fontId="0" fillId="0" borderId="0" xfId="4" applyNumberFormat="1" applyFont="1"/>
    <xf numFmtId="166" fontId="0" fillId="0" borderId="0" xfId="0" applyNumberFormat="1"/>
    <xf numFmtId="168" fontId="0" fillId="0" borderId="0" xfId="0" applyNumberFormat="1"/>
    <xf numFmtId="11" fontId="0" fillId="0" borderId="0" xfId="0" applyNumberFormat="1"/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10" fontId="0" fillId="0" borderId="0" xfId="4" applyNumberFormat="1" applyFont="1" applyAlignment="1">
      <alignment horizontal="right"/>
    </xf>
    <xf numFmtId="3" fontId="0" fillId="0" borderId="0" xfId="4" applyNumberFormat="1" applyFont="1" applyAlignment="1">
      <alignment horizontal="right"/>
    </xf>
    <xf numFmtId="10" fontId="0" fillId="6" borderId="2" xfId="0" applyNumberFormat="1" applyFill="1" applyBorder="1"/>
    <xf numFmtId="10" fontId="0" fillId="6" borderId="4" xfId="0" applyNumberFormat="1" applyFill="1" applyBorder="1"/>
    <xf numFmtId="10" fontId="0" fillId="6" borderId="6" xfId="0" applyNumberFormat="1" applyFill="1" applyBorder="1"/>
    <xf numFmtId="10" fontId="0" fillId="6" borderId="0" xfId="4" applyNumberFormat="1" applyFont="1" applyFill="1"/>
    <xf numFmtId="4" fontId="5" fillId="3" borderId="0" xfId="5" applyNumberFormat="1"/>
    <xf numFmtId="167" fontId="5" fillId="3" borderId="0" xfId="5" applyNumberFormat="1"/>
    <xf numFmtId="3" fontId="0" fillId="0" borderId="0" xfId="0" applyNumberFormat="1" applyAlignment="1">
      <alignment horizontal="right"/>
    </xf>
    <xf numFmtId="0" fontId="0" fillId="6" borderId="0" xfId="0" applyFill="1"/>
    <xf numFmtId="168" fontId="0" fillId="6" borderId="0" xfId="4" applyNumberFormat="1" applyFont="1" applyFill="1"/>
    <xf numFmtId="0" fontId="0" fillId="0" borderId="3" xfId="0" applyBorder="1"/>
    <xf numFmtId="168" fontId="0" fillId="0" borderId="8" xfId="4" applyNumberFormat="1" applyFont="1" applyBorder="1"/>
    <xf numFmtId="0" fontId="0" fillId="0" borderId="5" xfId="0" applyBorder="1"/>
    <xf numFmtId="168" fontId="0" fillId="0" borderId="9" xfId="4" applyNumberFormat="1" applyFont="1" applyBorder="1"/>
    <xf numFmtId="0" fontId="0" fillId="0" borderId="5" xfId="0" quotePrefix="1" applyBorder="1"/>
    <xf numFmtId="0" fontId="0" fillId="0" borderId="7" xfId="0" applyBorder="1"/>
    <xf numFmtId="168" fontId="0" fillId="0" borderId="10" xfId="4" applyNumberFormat="1" applyFont="1" applyBorder="1"/>
    <xf numFmtId="4" fontId="0" fillId="6" borderId="8" xfId="4" applyNumberFormat="1" applyFont="1" applyFill="1" applyBorder="1"/>
    <xf numFmtId="4" fontId="0" fillId="6" borderId="9" xfId="4" applyNumberFormat="1" applyFont="1" applyFill="1" applyBorder="1"/>
    <xf numFmtId="4" fontId="0" fillId="6" borderId="0" xfId="0" applyNumberFormat="1" applyFill="1"/>
    <xf numFmtId="166" fontId="0" fillId="0" borderId="0" xfId="4" applyNumberFormat="1" applyFont="1"/>
    <xf numFmtId="0" fontId="9" fillId="8" borderId="12" xfId="0" applyFont="1" applyFill="1" applyBorder="1" applyAlignment="1">
      <alignment horizontal="right"/>
    </xf>
    <xf numFmtId="3" fontId="9" fillId="8" borderId="13" xfId="0" applyNumberFormat="1" applyFont="1" applyFill="1" applyBorder="1" applyAlignment="1">
      <alignment horizontal="right"/>
    </xf>
    <xf numFmtId="168" fontId="9" fillId="8" borderId="13" xfId="0" applyNumberFormat="1" applyFont="1" applyFill="1" applyBorder="1" applyAlignment="1">
      <alignment horizontal="right"/>
    </xf>
    <xf numFmtId="3" fontId="9" fillId="0" borderId="13" xfId="0" applyNumberFormat="1" applyFont="1" applyBorder="1" applyAlignment="1">
      <alignment horizontal="right"/>
    </xf>
    <xf numFmtId="168" fontId="9" fillId="0" borderId="13" xfId="0" applyNumberFormat="1" applyFont="1" applyBorder="1" applyAlignment="1">
      <alignment horizontal="right"/>
    </xf>
    <xf numFmtId="4" fontId="9" fillId="0" borderId="13" xfId="0" applyNumberFormat="1" applyFont="1" applyBorder="1" applyAlignment="1">
      <alignment horizontal="right"/>
    </xf>
    <xf numFmtId="9" fontId="9" fillId="0" borderId="13" xfId="4" applyNumberFormat="1" applyFont="1" applyBorder="1" applyAlignment="1">
      <alignment horizontal="right"/>
    </xf>
    <xf numFmtId="4" fontId="9" fillId="8" borderId="13" xfId="0" applyNumberFormat="1" applyFont="1" applyFill="1" applyBorder="1" applyAlignment="1">
      <alignment horizontal="right"/>
    </xf>
    <xf numFmtId="9" fontId="9" fillId="8" borderId="13" xfId="4" applyNumberFormat="1" applyFont="1" applyFill="1" applyBorder="1" applyAlignment="1">
      <alignment horizontal="right"/>
    </xf>
    <xf numFmtId="3" fontId="9" fillId="0" borderId="13" xfId="0" applyNumberFormat="1" applyFont="1" applyBorder="1"/>
    <xf numFmtId="0" fontId="9" fillId="8" borderId="15" xfId="0" applyFont="1" applyFill="1" applyBorder="1" applyAlignment="1">
      <alignment horizontal="right"/>
    </xf>
    <xf numFmtId="10" fontId="9" fillId="8" borderId="16" xfId="4" applyNumberFormat="1" applyFont="1" applyFill="1" applyBorder="1"/>
    <xf numFmtId="0" fontId="9" fillId="0" borderId="15" xfId="0" applyFont="1" applyBorder="1" applyAlignment="1">
      <alignment horizontal="right"/>
    </xf>
    <xf numFmtId="10" fontId="9" fillId="0" borderId="16" xfId="4" applyNumberFormat="1" applyFont="1" applyBorder="1"/>
    <xf numFmtId="0" fontId="9" fillId="0" borderId="16" xfId="0" applyFont="1" applyBorder="1"/>
    <xf numFmtId="0" fontId="9" fillId="8" borderId="17" xfId="0" applyFont="1" applyFill="1" applyBorder="1" applyAlignment="1">
      <alignment horizontal="right"/>
    </xf>
    <xf numFmtId="0" fontId="9" fillId="8" borderId="18" xfId="0" applyFont="1" applyFill="1" applyBorder="1"/>
    <xf numFmtId="3" fontId="9" fillId="8" borderId="18" xfId="0" applyNumberFormat="1" applyFont="1" applyFill="1" applyBorder="1"/>
    <xf numFmtId="0" fontId="9" fillId="8" borderId="19" xfId="0" applyFont="1" applyFill="1" applyBorder="1"/>
    <xf numFmtId="0" fontId="9" fillId="8" borderId="11" xfId="0" applyFont="1" applyFill="1" applyBorder="1" applyAlignment="1">
      <alignment horizontal="right"/>
    </xf>
    <xf numFmtId="3" fontId="9" fillId="8" borderId="12" xfId="0" applyNumberFormat="1" applyFont="1" applyFill="1" applyBorder="1" applyAlignment="1">
      <alignment horizontal="right"/>
    </xf>
    <xf numFmtId="168" fontId="9" fillId="8" borderId="12" xfId="0" applyNumberFormat="1" applyFont="1" applyFill="1" applyBorder="1" applyAlignment="1">
      <alignment horizontal="right"/>
    </xf>
    <xf numFmtId="3" fontId="9" fillId="8" borderId="12" xfId="0" applyNumberFormat="1" applyFont="1" applyFill="1" applyBorder="1"/>
    <xf numFmtId="10" fontId="9" fillId="8" borderId="14" xfId="4" applyNumberFormat="1" applyFont="1" applyFill="1" applyBorder="1"/>
    <xf numFmtId="0" fontId="8" fillId="7" borderId="11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14" xfId="0" applyFont="1" applyFill="1" applyBorder="1" applyAlignment="1">
      <alignment horizontal="center"/>
    </xf>
    <xf numFmtId="180" fontId="9" fillId="8" borderId="12" xfId="4" applyNumberFormat="1" applyFont="1" applyFill="1" applyBorder="1" applyAlignment="1">
      <alignment horizontal="right"/>
    </xf>
    <xf numFmtId="180" fontId="9" fillId="0" borderId="13" xfId="4" applyNumberFormat="1" applyFont="1" applyBorder="1" applyAlignment="1">
      <alignment horizontal="right"/>
    </xf>
    <xf numFmtId="180" fontId="9" fillId="8" borderId="13" xfId="4" applyNumberFormat="1" applyFont="1" applyFill="1" applyBorder="1" applyAlignment="1">
      <alignment horizontal="right"/>
    </xf>
    <xf numFmtId="180" fontId="9" fillId="0" borderId="13" xfId="4" applyNumberFormat="1" applyFont="1" applyBorder="1"/>
    <xf numFmtId="10" fontId="9" fillId="8" borderId="12" xfId="0" applyNumberFormat="1" applyFont="1" applyFill="1" applyBorder="1" applyAlignment="1">
      <alignment horizontal="right"/>
    </xf>
    <xf numFmtId="10" fontId="9" fillId="0" borderId="13" xfId="0" applyNumberFormat="1" applyFont="1" applyBorder="1" applyAlignment="1">
      <alignment horizontal="right"/>
    </xf>
    <xf numFmtId="10" fontId="9" fillId="8" borderId="13" xfId="0" applyNumberFormat="1" applyFont="1" applyFill="1" applyBorder="1" applyAlignment="1">
      <alignment horizontal="right"/>
    </xf>
    <xf numFmtId="3" fontId="9" fillId="8" borderId="14" xfId="0" applyNumberFormat="1" applyFont="1" applyFill="1" applyBorder="1" applyAlignment="1">
      <alignment horizontal="right"/>
    </xf>
    <xf numFmtId="3" fontId="9" fillId="0" borderId="16" xfId="0" applyNumberFormat="1" applyFont="1" applyBorder="1" applyAlignment="1">
      <alignment horizontal="right"/>
    </xf>
    <xf numFmtId="3" fontId="9" fillId="8" borderId="16" xfId="0" applyNumberFormat="1" applyFont="1" applyFill="1" applyBorder="1" applyAlignment="1">
      <alignment horizontal="right"/>
    </xf>
    <xf numFmtId="3" fontId="9" fillId="8" borderId="19" xfId="0" applyNumberFormat="1" applyFont="1" applyFill="1" applyBorder="1"/>
    <xf numFmtId="10" fontId="9" fillId="8" borderId="20" xfId="4" applyNumberFormat="1" applyFont="1" applyFill="1" applyBorder="1" applyAlignment="1">
      <alignment horizontal="right"/>
    </xf>
    <xf numFmtId="10" fontId="9" fillId="0" borderId="21" xfId="4" applyNumberFormat="1" applyFont="1" applyBorder="1" applyAlignment="1">
      <alignment horizontal="right"/>
    </xf>
    <xf numFmtId="10" fontId="9" fillId="8" borderId="21" xfId="4" applyNumberFormat="1" applyFont="1" applyFill="1" applyBorder="1" applyAlignment="1">
      <alignment horizontal="right"/>
    </xf>
    <xf numFmtId="0" fontId="9" fillId="0" borderId="17" xfId="0" applyFont="1" applyBorder="1" applyAlignment="1">
      <alignment horizontal="right"/>
    </xf>
    <xf numFmtId="10" fontId="9" fillId="0" borderId="22" xfId="4" applyNumberFormat="1" applyFont="1" applyBorder="1" applyAlignment="1">
      <alignment horizontal="right"/>
    </xf>
    <xf numFmtId="14" fontId="9" fillId="8" borderId="20" xfId="0" applyNumberFormat="1" applyFont="1" applyFill="1" applyBorder="1" applyAlignment="1">
      <alignment horizontal="right"/>
    </xf>
    <xf numFmtId="14" fontId="9" fillId="0" borderId="21" xfId="0" applyNumberFormat="1" applyFont="1" applyBorder="1" applyAlignment="1">
      <alignment horizontal="right"/>
    </xf>
    <xf numFmtId="2" fontId="9" fillId="8" borderId="21" xfId="0" applyNumberFormat="1" applyFont="1" applyFill="1" applyBorder="1" applyAlignment="1">
      <alignment horizontal="right"/>
    </xf>
    <xf numFmtId="2" fontId="9" fillId="0" borderId="21" xfId="0" applyNumberFormat="1" applyFont="1" applyBorder="1" applyAlignment="1">
      <alignment horizontal="right"/>
    </xf>
    <xf numFmtId="179" fontId="0" fillId="0" borderId="0" xfId="4" applyNumberFormat="1" applyFont="1"/>
    <xf numFmtId="179" fontId="0" fillId="6" borderId="0" xfId="0" applyNumberFormat="1" applyFill="1"/>
    <xf numFmtId="0" fontId="8" fillId="7" borderId="23" xfId="0" applyFont="1" applyFill="1" applyBorder="1" applyAlignment="1">
      <alignment horizontal="center"/>
    </xf>
    <xf numFmtId="0" fontId="8" fillId="7" borderId="24" xfId="0" applyFont="1" applyFill="1" applyBorder="1" applyAlignment="1">
      <alignment horizontal="center"/>
    </xf>
  </cellXfs>
  <cellStyles count="8">
    <cellStyle name="Bad" xfId="6" builtinId="27"/>
    <cellStyle name="Comma" xfId="1" builtinId="3"/>
    <cellStyle name="Currency" xfId="2" builtinId="4"/>
    <cellStyle name="Good" xfId="5" builtinId="26"/>
    <cellStyle name="Neutral" xfId="7" builtinId="28"/>
    <cellStyle name="Normal" xfId="0" builtinId="0"/>
    <cellStyle name="Normal_ReutersMktData" xfId="3" xr:uid="{00000000-0005-0000-0000-000006000000}"/>
    <cellStyle name="Percent" xfId="4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RKO with vega / vanna / volga hedge from butterfly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Long Butterfly (effectively RR)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hedged_RKO_centered!$C$52:$N$52</c:f>
              <c:numCache>
                <c:formatCode>#,##0.00</c:formatCode>
                <c:ptCount val="12"/>
                <c:pt idx="0">
                  <c:v>103</c:v>
                </c:pt>
                <c:pt idx="1">
                  <c:v>104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  <c:pt idx="5">
                  <c:v>108</c:v>
                </c:pt>
                <c:pt idx="6">
                  <c:v>109</c:v>
                </c:pt>
                <c:pt idx="7">
                  <c:v>110</c:v>
                </c:pt>
                <c:pt idx="8">
                  <c:v>111</c:v>
                </c:pt>
                <c:pt idx="9">
                  <c:v>112</c:v>
                </c:pt>
                <c:pt idx="10">
                  <c:v>113</c:v>
                </c:pt>
                <c:pt idx="11">
                  <c:v>114</c:v>
                </c:pt>
              </c:numCache>
            </c:numRef>
          </c:cat>
          <c:val>
            <c:numRef>
              <c:f>hedged_RKO_centered!$C$53:$N$53</c:f>
              <c:numCache>
                <c:formatCode>#,##0</c:formatCode>
                <c:ptCount val="12"/>
                <c:pt idx="0">
                  <c:v>-21158.400377767277</c:v>
                </c:pt>
                <c:pt idx="1">
                  <c:v>-1395.6211622342817</c:v>
                </c:pt>
                <c:pt idx="2">
                  <c:v>34454.440385860275</c:v>
                </c:pt>
                <c:pt idx="3">
                  <c:v>89470.467240945552</c:v>
                </c:pt>
                <c:pt idx="4">
                  <c:v>164925.79782187857</c:v>
                </c:pt>
                <c:pt idx="5">
                  <c:v>259611.76558492414</c:v>
                </c:pt>
                <c:pt idx="6">
                  <c:v>369534.65474979358</c:v>
                </c:pt>
                <c:pt idx="7">
                  <c:v>488108.14359563892</c:v>
                </c:pt>
                <c:pt idx="8">
                  <c:v>606849.56543307658</c:v>
                </c:pt>
                <c:pt idx="9">
                  <c:v>716465.97122354759</c:v>
                </c:pt>
                <c:pt idx="10">
                  <c:v>808121.16654757829</c:v>
                </c:pt>
                <c:pt idx="11">
                  <c:v>874634.6886680047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1-473F-85EC-37ADA4FB2783}"/>
            </c:ext>
          </c:extLst>
        </c:ser>
        <c:ser>
          <c:idx val="0"/>
          <c:order val="1"/>
          <c:tx>
            <c:v>Long Upside RKO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hedged_RKO_centered!$C$52:$N$52</c:f>
              <c:numCache>
                <c:formatCode>#,##0.00</c:formatCode>
                <c:ptCount val="12"/>
                <c:pt idx="0">
                  <c:v>103</c:v>
                </c:pt>
                <c:pt idx="1">
                  <c:v>104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  <c:pt idx="5">
                  <c:v>108</c:v>
                </c:pt>
                <c:pt idx="6">
                  <c:v>109</c:v>
                </c:pt>
                <c:pt idx="7">
                  <c:v>110</c:v>
                </c:pt>
                <c:pt idx="8">
                  <c:v>111</c:v>
                </c:pt>
                <c:pt idx="9">
                  <c:v>112</c:v>
                </c:pt>
                <c:pt idx="10">
                  <c:v>113</c:v>
                </c:pt>
                <c:pt idx="11">
                  <c:v>114</c:v>
                </c:pt>
              </c:numCache>
            </c:numRef>
          </c:cat>
          <c:val>
            <c:numRef>
              <c:f>hedged_RKO_centered!$C$75:$N$75</c:f>
              <c:numCache>
                <c:formatCode>#,##0</c:formatCode>
                <c:ptCount val="12"/>
                <c:pt idx="0">
                  <c:v>123065.8823160539</c:v>
                </c:pt>
                <c:pt idx="1">
                  <c:v>76505.852637921736</c:v>
                </c:pt>
                <c:pt idx="2">
                  <c:v>16266.141181836138</c:v>
                </c:pt>
                <c:pt idx="3">
                  <c:v>-58606.742462054899</c:v>
                </c:pt>
                <c:pt idx="4">
                  <c:v>-148539.54440255195</c:v>
                </c:pt>
                <c:pt idx="5">
                  <c:v>-252643.83994815254</c:v>
                </c:pt>
                <c:pt idx="6">
                  <c:v>-367845.03932580753</c:v>
                </c:pt>
                <c:pt idx="7">
                  <c:v>-488200.98249938386</c:v>
                </c:pt>
                <c:pt idx="8">
                  <c:v>-604702.158075099</c:v>
                </c:pt>
                <c:pt idx="9">
                  <c:v>-705774.83907661412</c:v>
                </c:pt>
                <c:pt idx="10">
                  <c:v>-778551.55190814065</c:v>
                </c:pt>
                <c:pt idx="11">
                  <c:v>-810765.70150679443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91-473F-85EC-37ADA4FB2783}"/>
            </c:ext>
          </c:extLst>
        </c:ser>
        <c:ser>
          <c:idx val="2"/>
          <c:order val="2"/>
          <c:tx>
            <c:v>Portfolio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hedged_RKO_centered!$C$52:$N$52</c:f>
              <c:numCache>
                <c:formatCode>#,##0.00</c:formatCode>
                <c:ptCount val="12"/>
                <c:pt idx="0">
                  <c:v>103</c:v>
                </c:pt>
                <c:pt idx="1">
                  <c:v>104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  <c:pt idx="5">
                  <c:v>108</c:v>
                </c:pt>
                <c:pt idx="6">
                  <c:v>109</c:v>
                </c:pt>
                <c:pt idx="7">
                  <c:v>110</c:v>
                </c:pt>
                <c:pt idx="8">
                  <c:v>111</c:v>
                </c:pt>
                <c:pt idx="9">
                  <c:v>112</c:v>
                </c:pt>
                <c:pt idx="10">
                  <c:v>113</c:v>
                </c:pt>
                <c:pt idx="11">
                  <c:v>114</c:v>
                </c:pt>
              </c:numCache>
            </c:numRef>
          </c:cat>
          <c:val>
            <c:numRef>
              <c:f>hedged_RKO_centered!$C$79:$N$79</c:f>
              <c:numCache>
                <c:formatCode>#,##0</c:formatCode>
                <c:ptCount val="12"/>
                <c:pt idx="0">
                  <c:v>101907.48193828663</c:v>
                </c:pt>
                <c:pt idx="1">
                  <c:v>75110.231475687455</c:v>
                </c:pt>
                <c:pt idx="2">
                  <c:v>50720.581567696412</c:v>
                </c:pt>
                <c:pt idx="3">
                  <c:v>30863.724778890653</c:v>
                </c:pt>
                <c:pt idx="4">
                  <c:v>16386.253419326618</c:v>
                </c:pt>
                <c:pt idx="5">
                  <c:v>6967.9256367716007</c:v>
                </c:pt>
                <c:pt idx="6">
                  <c:v>1689.615423986048</c:v>
                </c:pt>
                <c:pt idx="7">
                  <c:v>-92.838903744937852</c:v>
                </c:pt>
                <c:pt idx="8">
                  <c:v>2147.4073579775868</c:v>
                </c:pt>
                <c:pt idx="9">
                  <c:v>10691.132146933465</c:v>
                </c:pt>
                <c:pt idx="10">
                  <c:v>29569.614639437641</c:v>
                </c:pt>
                <c:pt idx="11">
                  <c:v>63868.987161210272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91-473F-85EC-37ADA4FB2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53088"/>
        <c:axId val="486554624"/>
      </c:lineChart>
      <c:catAx>
        <c:axId val="48655308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54624"/>
        <c:crosses val="autoZero"/>
        <c:auto val="1"/>
        <c:lblAlgn val="ctr"/>
        <c:lblOffset val="100"/>
        <c:noMultiLvlLbl val="0"/>
      </c:catAx>
      <c:valAx>
        <c:axId val="486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Vega ($)</a:t>
                </a:r>
              </a:p>
            </c:rich>
          </c:tx>
          <c:layout>
            <c:manualLayout>
              <c:xMode val="edge"/>
              <c:yMode val="edge"/>
              <c:x val="1.6511866831663988E-2"/>
              <c:y val="0.19400333387796462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5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RKO with vega / vanna / volga hedge from butterfly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Long Buttefly (effectively RR)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hedged_RKO_broad!$C$52:$N$52</c:f>
              <c:numCache>
                <c:formatCode>#,##0.00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102</c:v>
                </c:pt>
                <c:pt idx="3">
                  <c:v>104</c:v>
                </c:pt>
                <c:pt idx="4">
                  <c:v>106</c:v>
                </c:pt>
                <c:pt idx="5">
                  <c:v>108</c:v>
                </c:pt>
                <c:pt idx="6">
                  <c:v>110</c:v>
                </c:pt>
                <c:pt idx="7">
                  <c:v>112</c:v>
                </c:pt>
                <c:pt idx="8">
                  <c:v>114</c:v>
                </c:pt>
                <c:pt idx="9">
                  <c:v>116</c:v>
                </c:pt>
                <c:pt idx="10">
                  <c:v>118</c:v>
                </c:pt>
                <c:pt idx="11">
                  <c:v>120</c:v>
                </c:pt>
              </c:numCache>
            </c:numRef>
          </c:cat>
          <c:val>
            <c:numRef>
              <c:f>hedged_RKO_broad!$C$53:$N$53</c:f>
              <c:numCache>
                <c:formatCode>#,##0</c:formatCode>
                <c:ptCount val="12"/>
                <c:pt idx="0">
                  <c:v>-12264.564931934383</c:v>
                </c:pt>
                <c:pt idx="1">
                  <c:v>-24153.520581443619</c:v>
                </c:pt>
                <c:pt idx="2">
                  <c:v>-28861.448129013268</c:v>
                </c:pt>
                <c:pt idx="3">
                  <c:v>-1395.6211622342817</c:v>
                </c:pt>
                <c:pt idx="4">
                  <c:v>89470.467240945552</c:v>
                </c:pt>
                <c:pt idx="5">
                  <c:v>259611.76558492414</c:v>
                </c:pt>
                <c:pt idx="6">
                  <c:v>488108.14359563892</c:v>
                </c:pt>
                <c:pt idx="7">
                  <c:v>716465.97122354759</c:v>
                </c:pt>
                <c:pt idx="8">
                  <c:v>874634.6886680047</c:v>
                </c:pt>
                <c:pt idx="9">
                  <c:v>916782.33554443321</c:v>
                </c:pt>
                <c:pt idx="10">
                  <c:v>841649.15679483814</c:v>
                </c:pt>
                <c:pt idx="11">
                  <c:v>686288.39217388129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1-4703-B747-F2E8B3320D41}"/>
            </c:ext>
          </c:extLst>
        </c:ser>
        <c:ser>
          <c:idx val="0"/>
          <c:order val="1"/>
          <c:tx>
            <c:v>Long Upside RKO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hedged_RKO_broad!$C$52:$N$52</c:f>
              <c:numCache>
                <c:formatCode>#,##0.00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102</c:v>
                </c:pt>
                <c:pt idx="3">
                  <c:v>104</c:v>
                </c:pt>
                <c:pt idx="4">
                  <c:v>106</c:v>
                </c:pt>
                <c:pt idx="5">
                  <c:v>108</c:v>
                </c:pt>
                <c:pt idx="6">
                  <c:v>110</c:v>
                </c:pt>
                <c:pt idx="7">
                  <c:v>112</c:v>
                </c:pt>
                <c:pt idx="8">
                  <c:v>114</c:v>
                </c:pt>
                <c:pt idx="9">
                  <c:v>116</c:v>
                </c:pt>
                <c:pt idx="10">
                  <c:v>118</c:v>
                </c:pt>
                <c:pt idx="11">
                  <c:v>120</c:v>
                </c:pt>
              </c:numCache>
            </c:numRef>
          </c:cat>
          <c:val>
            <c:numRef>
              <c:f>hedged_RKO_broad!$C$75:$N$75</c:f>
              <c:numCache>
                <c:formatCode>#,##0</c:formatCode>
                <c:ptCount val="12"/>
                <c:pt idx="0">
                  <c:v>180487.87848843154</c:v>
                </c:pt>
                <c:pt idx="1">
                  <c:v>189404.18710089405</c:v>
                </c:pt>
                <c:pt idx="2">
                  <c:v>156904.40681359274</c:v>
                </c:pt>
                <c:pt idx="3">
                  <c:v>76505.852637921736</c:v>
                </c:pt>
                <c:pt idx="4">
                  <c:v>-58606.742462054899</c:v>
                </c:pt>
                <c:pt idx="5">
                  <c:v>-252643.83994815254</c:v>
                </c:pt>
                <c:pt idx="6">
                  <c:v>-488200.98249938386</c:v>
                </c:pt>
                <c:pt idx="7">
                  <c:v>-705774.83907661412</c:v>
                </c:pt>
                <c:pt idx="8">
                  <c:v>-810765.70150679443</c:v>
                </c:pt>
                <c:pt idx="9">
                  <c:v>-720316.25072051352</c:v>
                </c:pt>
                <c:pt idx="10">
                  <c:v>-422683.11535103054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51-4703-B747-F2E8B3320D41}"/>
            </c:ext>
          </c:extLst>
        </c:ser>
        <c:ser>
          <c:idx val="2"/>
          <c:order val="2"/>
          <c:tx>
            <c:v>Portfolio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hedged_RKO_broad!$C$52:$N$52</c:f>
              <c:numCache>
                <c:formatCode>#,##0.00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102</c:v>
                </c:pt>
                <c:pt idx="3">
                  <c:v>104</c:v>
                </c:pt>
                <c:pt idx="4">
                  <c:v>106</c:v>
                </c:pt>
                <c:pt idx="5">
                  <c:v>108</c:v>
                </c:pt>
                <c:pt idx="6">
                  <c:v>110</c:v>
                </c:pt>
                <c:pt idx="7">
                  <c:v>112</c:v>
                </c:pt>
                <c:pt idx="8">
                  <c:v>114</c:v>
                </c:pt>
                <c:pt idx="9">
                  <c:v>116</c:v>
                </c:pt>
                <c:pt idx="10">
                  <c:v>118</c:v>
                </c:pt>
                <c:pt idx="11">
                  <c:v>120</c:v>
                </c:pt>
              </c:numCache>
            </c:numRef>
          </c:cat>
          <c:val>
            <c:numRef>
              <c:f>hedged_RKO_broad!$C$79:$N$79</c:f>
              <c:numCache>
                <c:formatCode>#,##0</c:formatCode>
                <c:ptCount val="12"/>
                <c:pt idx="0">
                  <c:v>168223.31355649716</c:v>
                </c:pt>
                <c:pt idx="1">
                  <c:v>165250.66651945043</c:v>
                </c:pt>
                <c:pt idx="2">
                  <c:v>128042.95868457947</c:v>
                </c:pt>
                <c:pt idx="3">
                  <c:v>75110.231475687455</c:v>
                </c:pt>
                <c:pt idx="4">
                  <c:v>30863.724778890653</c:v>
                </c:pt>
                <c:pt idx="5">
                  <c:v>6967.9256367716007</c:v>
                </c:pt>
                <c:pt idx="6">
                  <c:v>-92.838903744937852</c:v>
                </c:pt>
                <c:pt idx="7">
                  <c:v>10691.132146933465</c:v>
                </c:pt>
                <c:pt idx="8">
                  <c:v>63868.987161210272</c:v>
                </c:pt>
                <c:pt idx="9">
                  <c:v>196466.08482391969</c:v>
                </c:pt>
                <c:pt idx="10">
                  <c:v>418966.0414438076</c:v>
                </c:pt>
                <c:pt idx="11">
                  <c:v>686288.39217388129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51-4703-B747-F2E8B3320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94432"/>
        <c:axId val="486595968"/>
      </c:lineChart>
      <c:catAx>
        <c:axId val="48659443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5968"/>
        <c:crosses val="autoZero"/>
        <c:auto val="1"/>
        <c:lblAlgn val="ctr"/>
        <c:lblOffset val="100"/>
        <c:noMultiLvlLbl val="0"/>
      </c:catAx>
      <c:valAx>
        <c:axId val="4865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Vega ($)</a:t>
                </a:r>
              </a:p>
            </c:rich>
          </c:tx>
          <c:layout>
            <c:manualLayout>
              <c:xMode val="edge"/>
              <c:yMode val="edge"/>
              <c:x val="1.6511866831663988E-2"/>
              <c:y val="0.19400333387796462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9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Butterfly = Long ATM options and Short Wing options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Long USD Call / Short USD Put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BF!$C$52:$N$52</c:f>
              <c:numCache>
                <c:formatCode>#,##0.00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102</c:v>
                </c:pt>
                <c:pt idx="3">
                  <c:v>104</c:v>
                </c:pt>
                <c:pt idx="4">
                  <c:v>106</c:v>
                </c:pt>
                <c:pt idx="5">
                  <c:v>108</c:v>
                </c:pt>
                <c:pt idx="6">
                  <c:v>110</c:v>
                </c:pt>
                <c:pt idx="7">
                  <c:v>112</c:v>
                </c:pt>
                <c:pt idx="8">
                  <c:v>114</c:v>
                </c:pt>
                <c:pt idx="9">
                  <c:v>116</c:v>
                </c:pt>
                <c:pt idx="10">
                  <c:v>118</c:v>
                </c:pt>
                <c:pt idx="11">
                  <c:v>120</c:v>
                </c:pt>
              </c:numCache>
            </c:numRef>
          </c:cat>
          <c:val>
            <c:numRef>
              <c:f>BF!$C$59:$N$59</c:f>
              <c:numCache>
                <c:formatCode>#,##0</c:formatCode>
                <c:ptCount val="12"/>
                <c:pt idx="0">
                  <c:v>257082.87471469305</c:v>
                </c:pt>
                <c:pt idx="1">
                  <c:v>204649.87641397212</c:v>
                </c:pt>
                <c:pt idx="2">
                  <c:v>141569.33940399112</c:v>
                </c:pt>
                <c:pt idx="3">
                  <c:v>79362.11582719069</c:v>
                </c:pt>
                <c:pt idx="4">
                  <c:v>29307.75205021631</c:v>
                </c:pt>
                <c:pt idx="5">
                  <c:v>0</c:v>
                </c:pt>
                <c:pt idx="6">
                  <c:v>-4289.7007060772739</c:v>
                </c:pt>
                <c:pt idx="7">
                  <c:v>15896.238390518352</c:v>
                </c:pt>
                <c:pt idx="8">
                  <c:v>55826.615745919291</c:v>
                </c:pt>
                <c:pt idx="9">
                  <c:v>108001.57509483956</c:v>
                </c:pt>
                <c:pt idx="10">
                  <c:v>163902.49012766033</c:v>
                </c:pt>
                <c:pt idx="11">
                  <c:v>215621.31575247319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BC-45A0-9C48-B6C07297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980864"/>
        <c:axId val="488982400"/>
      </c:lineChart>
      <c:catAx>
        <c:axId val="488980864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82400"/>
        <c:crosses val="autoZero"/>
        <c:auto val="1"/>
        <c:lblAlgn val="ctr"/>
        <c:lblOffset val="100"/>
        <c:noMultiLvlLbl val="0"/>
      </c:catAx>
      <c:valAx>
        <c:axId val="4889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Vega ($)</a:t>
                </a:r>
              </a:p>
            </c:rich>
          </c:tx>
          <c:layout>
            <c:manualLayout>
              <c:xMode val="edge"/>
              <c:yMode val="edge"/>
              <c:x val="1.6958137435689268E-2"/>
              <c:y val="0.23603034587220889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8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Profile of Short Upside / Long Downside Risk Reversal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Short Upside Risk Reversal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RR!$C$52:$N$52</c:f>
              <c:numCache>
                <c:formatCode>#,##0.00</c:formatCode>
                <c:ptCount val="12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  <c:pt idx="9">
                  <c:v>125</c:v>
                </c:pt>
                <c:pt idx="10">
                  <c:v>130</c:v>
                </c:pt>
                <c:pt idx="11">
                  <c:v>135</c:v>
                </c:pt>
              </c:numCache>
            </c:numRef>
          </c:cat>
          <c:val>
            <c:numRef>
              <c:f>RR!$C$53:$N$53</c:f>
              <c:numCache>
                <c:formatCode>#,##0</c:formatCode>
                <c:ptCount val="12"/>
                <c:pt idx="0">
                  <c:v>5167.3447666110251</c:v>
                </c:pt>
                <c:pt idx="1">
                  <c:v>18886.369283557135</c:v>
                </c:pt>
                <c:pt idx="2">
                  <c:v>45042.826653951255</c:v>
                </c:pt>
                <c:pt idx="3">
                  <c:v>72351.279932506208</c:v>
                </c:pt>
                <c:pt idx="4">
                  <c:v>77221.80263620081</c:v>
                </c:pt>
                <c:pt idx="5">
                  <c:v>46183.133211964654</c:v>
                </c:pt>
                <c:pt idx="6">
                  <c:v>-7594.7038217402878</c:v>
                </c:pt>
                <c:pt idx="7">
                  <c:v>-55627.939131076331</c:v>
                </c:pt>
                <c:pt idx="8">
                  <c:v>-78146.401187138632</c:v>
                </c:pt>
                <c:pt idx="9">
                  <c:v>-74621.979310803436</c:v>
                </c:pt>
                <c:pt idx="10">
                  <c:v>-56657.734461026834</c:v>
                </c:pt>
                <c:pt idx="11">
                  <c:v>-36364.688605891221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D-46A2-BCFD-40C05831529C}"/>
            </c:ext>
          </c:extLst>
        </c:ser>
        <c:ser>
          <c:idx val="0"/>
          <c:order val="1"/>
          <c:tx>
            <c:v>Short 115.88 USD Call</c:v>
          </c:tx>
          <c:marker>
            <c:symbol val="none"/>
          </c:marker>
          <c:val>
            <c:numRef>
              <c:f>RR!$C$58:$N$58</c:f>
              <c:numCache>
                <c:formatCode>#,##0</c:formatCode>
                <c:ptCount val="12"/>
                <c:pt idx="0">
                  <c:v>-733.05978370717639</c:v>
                </c:pt>
                <c:pt idx="1">
                  <c:v>-4322.733963742221</c:v>
                </c:pt>
                <c:pt idx="2">
                  <c:v>-16899.637293768679</c:v>
                </c:pt>
                <c:pt idx="3">
                  <c:v>-46546.206762468064</c:v>
                </c:pt>
                <c:pt idx="4">
                  <c:v>-94928.349993837168</c:v>
                </c:pt>
                <c:pt idx="5">
                  <c:v>-149379.40070111852</c:v>
                </c:pt>
                <c:pt idx="6">
                  <c:v>-187708.11543215634</c:v>
                </c:pt>
                <c:pt idx="7">
                  <c:v>-193870.52141670848</c:v>
                </c:pt>
                <c:pt idx="8">
                  <c:v>-168652.61460671158</c:v>
                </c:pt>
                <c:pt idx="9">
                  <c:v>-126174.95202057053</c:v>
                </c:pt>
                <c:pt idx="10">
                  <c:v>-82642.935951687716</c:v>
                </c:pt>
                <c:pt idx="11">
                  <c:v>-48125.212738009723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DD-46A2-BCFD-40C05831529C}"/>
            </c:ext>
          </c:extLst>
        </c:ser>
        <c:ser>
          <c:idx val="2"/>
          <c:order val="2"/>
          <c:tx>
            <c:v>Long 100.88 USD Put</c:v>
          </c:tx>
          <c:marker>
            <c:symbol val="none"/>
          </c:marker>
          <c:val>
            <c:numRef>
              <c:f>RR!$C$33:$N$33</c:f>
              <c:numCache>
                <c:formatCode>#,##0</c:formatCode>
                <c:ptCount val="12"/>
                <c:pt idx="0">
                  <c:v>5900.4045503182015</c:v>
                </c:pt>
                <c:pt idx="1">
                  <c:v>23209.103247299357</c:v>
                </c:pt>
                <c:pt idx="2">
                  <c:v>61942.463947719931</c:v>
                </c:pt>
                <c:pt idx="3">
                  <c:v>118897.48669497427</c:v>
                </c:pt>
                <c:pt idx="4">
                  <c:v>172150.15263003798</c:v>
                </c:pt>
                <c:pt idx="5">
                  <c:v>195562.53391308317</c:v>
                </c:pt>
                <c:pt idx="6">
                  <c:v>180113.41161041605</c:v>
                </c:pt>
                <c:pt idx="7">
                  <c:v>138242.58228563215</c:v>
                </c:pt>
                <c:pt idx="8">
                  <c:v>90506.213419572945</c:v>
                </c:pt>
                <c:pt idx="9">
                  <c:v>51552.972709767106</c:v>
                </c:pt>
                <c:pt idx="10">
                  <c:v>25985.201490660882</c:v>
                </c:pt>
                <c:pt idx="11">
                  <c:v>11760.5241321185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DD-46A2-BCFD-40C058315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018496"/>
        <c:axId val="489020032"/>
      </c:lineChart>
      <c:catAx>
        <c:axId val="489018496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20032"/>
        <c:crosses val="autoZero"/>
        <c:auto val="1"/>
        <c:lblAlgn val="ctr"/>
        <c:lblOffset val="100"/>
        <c:noMultiLvlLbl val="0"/>
      </c:catAx>
      <c:valAx>
        <c:axId val="48902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Vega ($)</a:t>
                </a:r>
              </a:p>
            </c:rich>
          </c:tx>
          <c:layout>
            <c:manualLayout>
              <c:xMode val="edge"/>
              <c:yMode val="edge"/>
              <c:x val="1.5282628777548055E-2"/>
              <c:y val="0.2610344444795305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1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Profile of Long 100 USD</a:t>
            </a:r>
            <a:r>
              <a:rPr lang="en-US" baseline="0"/>
              <a:t> Call with RKO at 120</a:t>
            </a:r>
            <a:endParaRPr lang="en-US"/>
          </a:p>
        </c:rich>
      </c:tx>
      <c:layout>
        <c:manualLayout>
          <c:xMode val="edge"/>
          <c:yMode val="edge"/>
          <c:x val="0.2542167017402987"/>
          <c:y val="2.33151157219149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Long Upside RKO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RKO_RR!$C$12:$N$12</c:f>
              <c:numCache>
                <c:formatCode>#,##0.00</c:formatCode>
                <c:ptCount val="12"/>
                <c:pt idx="0">
                  <c:v>87</c:v>
                </c:pt>
                <c:pt idx="1">
                  <c:v>90</c:v>
                </c:pt>
                <c:pt idx="2">
                  <c:v>93</c:v>
                </c:pt>
                <c:pt idx="3">
                  <c:v>96</c:v>
                </c:pt>
                <c:pt idx="4">
                  <c:v>99</c:v>
                </c:pt>
                <c:pt idx="5">
                  <c:v>102</c:v>
                </c:pt>
                <c:pt idx="6">
                  <c:v>105</c:v>
                </c:pt>
                <c:pt idx="7">
                  <c:v>108</c:v>
                </c:pt>
                <c:pt idx="8">
                  <c:v>111</c:v>
                </c:pt>
                <c:pt idx="9">
                  <c:v>114</c:v>
                </c:pt>
                <c:pt idx="10">
                  <c:v>117</c:v>
                </c:pt>
                <c:pt idx="11">
                  <c:v>120</c:v>
                </c:pt>
              </c:numCache>
            </c:numRef>
          </c:cat>
          <c:val>
            <c:numRef>
              <c:f>RKO_RR!$C$27:$N$27</c:f>
              <c:numCache>
                <c:formatCode>#,##0</c:formatCode>
                <c:ptCount val="12"/>
                <c:pt idx="0">
                  <c:v>65212.716722505051</c:v>
                </c:pt>
                <c:pt idx="1">
                  <c:v>84311.322211340026</c:v>
                </c:pt>
                <c:pt idx="2">
                  <c:v>84186.216262790229</c:v>
                </c:pt>
                <c:pt idx="3">
                  <c:v>51243.520282620579</c:v>
                </c:pt>
                <c:pt idx="4">
                  <c:v>-19049.659038498601</c:v>
                </c:pt>
                <c:pt idx="5">
                  <c:v>-115968.93604994862</c:v>
                </c:pt>
                <c:pt idx="6">
                  <c:v>-214049.01649949886</c:v>
                </c:pt>
                <c:pt idx="7">
                  <c:v>-281456.96337174089</c:v>
                </c:pt>
                <c:pt idx="8">
                  <c:v>-292660.32367342967</c:v>
                </c:pt>
                <c:pt idx="9">
                  <c:v>-239077.8793066509</c:v>
                </c:pt>
                <c:pt idx="10">
                  <c:v>-132485.4061076692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F36-954F-6B64BD604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20160"/>
        <c:axId val="489821696"/>
      </c:lineChart>
      <c:catAx>
        <c:axId val="489820160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21696"/>
        <c:crosses val="autoZero"/>
        <c:auto val="1"/>
        <c:lblAlgn val="ctr"/>
        <c:lblOffset val="100"/>
        <c:noMultiLvlLbl val="0"/>
      </c:catAx>
      <c:valAx>
        <c:axId val="48982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Vega ($)</a:t>
                </a:r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2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Profile of Long 100 USD</a:t>
            </a:r>
            <a:r>
              <a:rPr lang="en-US" baseline="0"/>
              <a:t> Call with RKO at 120</a:t>
            </a:r>
            <a:endParaRPr lang="en-US"/>
          </a:p>
        </c:rich>
      </c:tx>
      <c:layout>
        <c:manualLayout>
          <c:xMode val="edge"/>
          <c:yMode val="edge"/>
          <c:x val="0.2542167017402987"/>
          <c:y val="2.33151157219149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Long Upside RKO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RKO_RR!$C$12:$N$12</c:f>
              <c:numCache>
                <c:formatCode>#,##0.00</c:formatCode>
                <c:ptCount val="12"/>
                <c:pt idx="0">
                  <c:v>87</c:v>
                </c:pt>
                <c:pt idx="1">
                  <c:v>90</c:v>
                </c:pt>
                <c:pt idx="2">
                  <c:v>93</c:v>
                </c:pt>
                <c:pt idx="3">
                  <c:v>96</c:v>
                </c:pt>
                <c:pt idx="4">
                  <c:v>99</c:v>
                </c:pt>
                <c:pt idx="5">
                  <c:v>102</c:v>
                </c:pt>
                <c:pt idx="6">
                  <c:v>105</c:v>
                </c:pt>
                <c:pt idx="7">
                  <c:v>108</c:v>
                </c:pt>
                <c:pt idx="8">
                  <c:v>111</c:v>
                </c:pt>
                <c:pt idx="9">
                  <c:v>114</c:v>
                </c:pt>
                <c:pt idx="10">
                  <c:v>117</c:v>
                </c:pt>
                <c:pt idx="11">
                  <c:v>120</c:v>
                </c:pt>
              </c:numCache>
            </c:numRef>
          </c:cat>
          <c:val>
            <c:numRef>
              <c:f>RKO_RR!$C$27:$N$27</c:f>
              <c:numCache>
                <c:formatCode>#,##0</c:formatCode>
                <c:ptCount val="12"/>
                <c:pt idx="0">
                  <c:v>65212.716722505051</c:v>
                </c:pt>
                <c:pt idx="1">
                  <c:v>84311.322211340026</c:v>
                </c:pt>
                <c:pt idx="2">
                  <c:v>84186.216262790229</c:v>
                </c:pt>
                <c:pt idx="3">
                  <c:v>51243.520282620579</c:v>
                </c:pt>
                <c:pt idx="4">
                  <c:v>-19049.659038498601</c:v>
                </c:pt>
                <c:pt idx="5">
                  <c:v>-115968.93604994862</c:v>
                </c:pt>
                <c:pt idx="6">
                  <c:v>-214049.01649949886</c:v>
                </c:pt>
                <c:pt idx="7">
                  <c:v>-281456.96337174089</c:v>
                </c:pt>
                <c:pt idx="8">
                  <c:v>-292660.32367342967</c:v>
                </c:pt>
                <c:pt idx="9">
                  <c:v>-239077.8793066509</c:v>
                </c:pt>
                <c:pt idx="10">
                  <c:v>-132485.4061076692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8-44A0-9B7C-AAB645FE9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47424"/>
        <c:axId val="489877888"/>
      </c:lineChart>
      <c:catAx>
        <c:axId val="489847424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7888"/>
        <c:crosses val="autoZero"/>
        <c:auto val="1"/>
        <c:lblAlgn val="ctr"/>
        <c:lblOffset val="100"/>
        <c:noMultiLvlLbl val="0"/>
      </c:catAx>
      <c:valAx>
        <c:axId val="48987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4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Profile of Long 100 USD</a:t>
            </a:r>
            <a:r>
              <a:rPr lang="en-US" baseline="0"/>
              <a:t> Call with RKO at 120</a:t>
            </a:r>
            <a:endParaRPr lang="en-US"/>
          </a:p>
        </c:rich>
      </c:tx>
      <c:layout>
        <c:manualLayout>
          <c:xMode val="edge"/>
          <c:yMode val="edge"/>
          <c:x val="0.2542167017402987"/>
          <c:y val="2.33151157219149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Long Upside RKO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RKO_BF!$C$12:$N$12</c:f>
              <c:numCache>
                <c:formatCode>#,##0.00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102</c:v>
                </c:pt>
                <c:pt idx="3">
                  <c:v>104</c:v>
                </c:pt>
                <c:pt idx="4">
                  <c:v>106</c:v>
                </c:pt>
                <c:pt idx="5">
                  <c:v>108</c:v>
                </c:pt>
                <c:pt idx="6">
                  <c:v>110</c:v>
                </c:pt>
                <c:pt idx="7">
                  <c:v>112</c:v>
                </c:pt>
                <c:pt idx="8">
                  <c:v>114</c:v>
                </c:pt>
                <c:pt idx="9">
                  <c:v>116</c:v>
                </c:pt>
                <c:pt idx="10">
                  <c:v>118</c:v>
                </c:pt>
                <c:pt idx="11">
                  <c:v>120</c:v>
                </c:pt>
              </c:numCache>
            </c:numRef>
          </c:cat>
          <c:val>
            <c:numRef>
              <c:f>RKO_BF!$C$77:$N$77</c:f>
              <c:numCache>
                <c:formatCode>#,##0</c:formatCode>
                <c:ptCount val="12"/>
                <c:pt idx="0">
                  <c:v>8213.4199285785489</c:v>
                </c:pt>
                <c:pt idx="1">
                  <c:v>-49401.810838464429</c:v>
                </c:pt>
                <c:pt idx="2">
                  <c:v>-115968.93604994862</c:v>
                </c:pt>
                <c:pt idx="3">
                  <c:v>-183194.63481257923</c:v>
                </c:pt>
                <c:pt idx="4">
                  <c:v>-241441.15929169615</c:v>
                </c:pt>
                <c:pt idx="5">
                  <c:v>-281456.96337174089</c:v>
                </c:pt>
                <c:pt idx="6">
                  <c:v>-296124.77358825156</c:v>
                </c:pt>
                <c:pt idx="7">
                  <c:v>-281820.11350823095</c:v>
                </c:pt>
                <c:pt idx="8">
                  <c:v>-239077.8793066509</c:v>
                </c:pt>
                <c:pt idx="9">
                  <c:v>-172446.16703959351</c:v>
                </c:pt>
                <c:pt idx="10">
                  <c:v>-89606.525244123142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B7-44C0-B300-5A30A108A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648128"/>
        <c:axId val="489649664"/>
      </c:lineChart>
      <c:catAx>
        <c:axId val="48964812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9664"/>
        <c:crosses val="autoZero"/>
        <c:auto val="1"/>
        <c:lblAlgn val="ctr"/>
        <c:lblOffset val="100"/>
        <c:noMultiLvlLbl val="0"/>
      </c:catAx>
      <c:valAx>
        <c:axId val="48964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Vega ($)</a:t>
                </a:r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RKO with vega / vanna / volga hedge from butterfly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Long Butterfly (effectively RR)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here!$C$52:$N$52</c:f>
              <c:numCache>
                <c:formatCode>0.00%</c:formatCode>
                <c:ptCount val="12"/>
                <c:pt idx="0">
                  <c:v>0.09</c:v>
                </c:pt>
                <c:pt idx="1">
                  <c:v>9.1999999999999998E-2</c:v>
                </c:pt>
                <c:pt idx="2">
                  <c:v>9.4E-2</c:v>
                </c:pt>
                <c:pt idx="3">
                  <c:v>9.6000000000000002E-2</c:v>
                </c:pt>
                <c:pt idx="4">
                  <c:v>9.8000000000000004E-2</c:v>
                </c:pt>
                <c:pt idx="5">
                  <c:v>0.1</c:v>
                </c:pt>
                <c:pt idx="6">
                  <c:v>0.10200000000000001</c:v>
                </c:pt>
                <c:pt idx="7">
                  <c:v>0.10400000000000001</c:v>
                </c:pt>
                <c:pt idx="8">
                  <c:v>0.10600000000000001</c:v>
                </c:pt>
                <c:pt idx="9">
                  <c:v>0.10800000000000001</c:v>
                </c:pt>
                <c:pt idx="10">
                  <c:v>0.11000000000000001</c:v>
                </c:pt>
                <c:pt idx="11">
                  <c:v>0.11200000000000002</c:v>
                </c:pt>
              </c:numCache>
            </c:numRef>
          </c:cat>
          <c:val>
            <c:numRef>
              <c:f>here!$C$53:$N$53</c:f>
              <c:numCache>
                <c:formatCode>#,##0</c:formatCode>
                <c:ptCount val="12"/>
                <c:pt idx="0">
                  <c:v>463815.5147621911</c:v>
                </c:pt>
                <c:pt idx="1">
                  <c:v>473649.12041111337</c:v>
                </c:pt>
                <c:pt idx="2">
                  <c:v>483017.23638671474</c:v>
                </c:pt>
                <c:pt idx="3">
                  <c:v>491947.0349544551</c:v>
                </c:pt>
                <c:pt idx="4">
                  <c:v>500463.89274296851</c:v>
                </c:pt>
                <c:pt idx="5">
                  <c:v>508591.51272846432</c:v>
                </c:pt>
                <c:pt idx="6">
                  <c:v>516352.0393337087</c:v>
                </c:pt>
                <c:pt idx="7">
                  <c:v>523766.16658657801</c:v>
                </c:pt>
                <c:pt idx="8">
                  <c:v>530853.23942362925</c:v>
                </c:pt>
                <c:pt idx="9">
                  <c:v>537631.34832315345</c:v>
                </c:pt>
                <c:pt idx="10">
                  <c:v>544117.41751974355</c:v>
                </c:pt>
                <c:pt idx="11">
                  <c:v>550327.28709623066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C-4FFE-8D3C-34F1AF675F00}"/>
            </c:ext>
          </c:extLst>
        </c:ser>
        <c:ser>
          <c:idx val="0"/>
          <c:order val="1"/>
          <c:tx>
            <c:v>Long Upside RKO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here!$C$52:$N$52</c:f>
              <c:numCache>
                <c:formatCode>0.00%</c:formatCode>
                <c:ptCount val="12"/>
                <c:pt idx="0">
                  <c:v>0.09</c:v>
                </c:pt>
                <c:pt idx="1">
                  <c:v>9.1999999999999998E-2</c:v>
                </c:pt>
                <c:pt idx="2">
                  <c:v>9.4E-2</c:v>
                </c:pt>
                <c:pt idx="3">
                  <c:v>9.6000000000000002E-2</c:v>
                </c:pt>
                <c:pt idx="4">
                  <c:v>9.8000000000000004E-2</c:v>
                </c:pt>
                <c:pt idx="5">
                  <c:v>0.1</c:v>
                </c:pt>
                <c:pt idx="6">
                  <c:v>0.10200000000000001</c:v>
                </c:pt>
                <c:pt idx="7">
                  <c:v>0.10400000000000001</c:v>
                </c:pt>
                <c:pt idx="8">
                  <c:v>0.10600000000000001</c:v>
                </c:pt>
                <c:pt idx="9">
                  <c:v>0.10800000000000001</c:v>
                </c:pt>
                <c:pt idx="10">
                  <c:v>0.11000000000000001</c:v>
                </c:pt>
                <c:pt idx="11">
                  <c:v>0.11200000000000002</c:v>
                </c:pt>
              </c:numCache>
            </c:numRef>
          </c:cat>
          <c:val>
            <c:numRef>
              <c:f>here!$C$75:$N$75</c:f>
              <c:numCache>
                <c:formatCode>#,##0</c:formatCode>
                <c:ptCount val="12"/>
                <c:pt idx="0">
                  <c:v>-488200.98249938386</c:v>
                </c:pt>
                <c:pt idx="1">
                  <c:v>-488200.98249938386</c:v>
                </c:pt>
                <c:pt idx="2">
                  <c:v>-488200.98249938386</c:v>
                </c:pt>
                <c:pt idx="3">
                  <c:v>-488200.98249938386</c:v>
                </c:pt>
                <c:pt idx="4">
                  <c:v>-488200.98249938386</c:v>
                </c:pt>
                <c:pt idx="5">
                  <c:v>-488200.98249938386</c:v>
                </c:pt>
                <c:pt idx="6">
                  <c:v>-488200.98249938386</c:v>
                </c:pt>
                <c:pt idx="7">
                  <c:v>-488200.98249938386</c:v>
                </c:pt>
                <c:pt idx="8">
                  <c:v>-488200.98249938386</c:v>
                </c:pt>
                <c:pt idx="9">
                  <c:v>-488200.98249938386</c:v>
                </c:pt>
                <c:pt idx="10">
                  <c:v>-488200.98249938386</c:v>
                </c:pt>
                <c:pt idx="11">
                  <c:v>-488200.98249938386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AC-4FFE-8D3C-34F1AF675F00}"/>
            </c:ext>
          </c:extLst>
        </c:ser>
        <c:ser>
          <c:idx val="2"/>
          <c:order val="2"/>
          <c:tx>
            <c:v>Portfolio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here!$C$52:$N$52</c:f>
              <c:numCache>
                <c:formatCode>0.00%</c:formatCode>
                <c:ptCount val="12"/>
                <c:pt idx="0">
                  <c:v>0.09</c:v>
                </c:pt>
                <c:pt idx="1">
                  <c:v>9.1999999999999998E-2</c:v>
                </c:pt>
                <c:pt idx="2">
                  <c:v>9.4E-2</c:v>
                </c:pt>
                <c:pt idx="3">
                  <c:v>9.6000000000000002E-2</c:v>
                </c:pt>
                <c:pt idx="4">
                  <c:v>9.8000000000000004E-2</c:v>
                </c:pt>
                <c:pt idx="5">
                  <c:v>0.1</c:v>
                </c:pt>
                <c:pt idx="6">
                  <c:v>0.10200000000000001</c:v>
                </c:pt>
                <c:pt idx="7">
                  <c:v>0.10400000000000001</c:v>
                </c:pt>
                <c:pt idx="8">
                  <c:v>0.10600000000000001</c:v>
                </c:pt>
                <c:pt idx="9">
                  <c:v>0.10800000000000001</c:v>
                </c:pt>
                <c:pt idx="10">
                  <c:v>0.11000000000000001</c:v>
                </c:pt>
                <c:pt idx="11">
                  <c:v>0.11200000000000002</c:v>
                </c:pt>
              </c:numCache>
            </c:numRef>
          </c:cat>
          <c:val>
            <c:numRef>
              <c:f>here!$C$79:$N$79</c:f>
              <c:numCache>
                <c:formatCode>#,##0</c:formatCode>
                <c:ptCount val="12"/>
                <c:pt idx="0">
                  <c:v>-24385.467737192754</c:v>
                </c:pt>
                <c:pt idx="1">
                  <c:v>-14551.862088270485</c:v>
                </c:pt>
                <c:pt idx="2">
                  <c:v>-5183.7461126691196</c:v>
                </c:pt>
                <c:pt idx="3">
                  <c:v>3746.0524550712435</c:v>
                </c:pt>
                <c:pt idx="4">
                  <c:v>12262.910243584658</c:v>
                </c:pt>
                <c:pt idx="5">
                  <c:v>20390.530229080468</c:v>
                </c:pt>
                <c:pt idx="6">
                  <c:v>28151.056834324845</c:v>
                </c:pt>
                <c:pt idx="7">
                  <c:v>35565.184087194153</c:v>
                </c:pt>
                <c:pt idx="8">
                  <c:v>42652.25692424539</c:v>
                </c:pt>
                <c:pt idx="9">
                  <c:v>49430.365823769593</c:v>
                </c:pt>
                <c:pt idx="10">
                  <c:v>55916.435020359699</c:v>
                </c:pt>
                <c:pt idx="11">
                  <c:v>62126.304596846807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AC-4FFE-8D3C-34F1AF675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730432"/>
        <c:axId val="489731968"/>
      </c:lineChart>
      <c:catAx>
        <c:axId val="48973043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31968"/>
        <c:crosses val="autoZero"/>
        <c:auto val="1"/>
        <c:lblAlgn val="ctr"/>
        <c:lblOffset val="100"/>
        <c:noMultiLvlLbl val="0"/>
      </c:catAx>
      <c:valAx>
        <c:axId val="48973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Vega ($)</a:t>
                </a:r>
              </a:p>
            </c:rich>
          </c:tx>
          <c:layout>
            <c:manualLayout>
              <c:xMode val="edge"/>
              <c:yMode val="edge"/>
              <c:x val="1.6511866831663988E-2"/>
              <c:y val="0.19400333387796462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3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76199</xdr:colOff>
      <xdr:row>4</xdr:row>
      <xdr:rowOff>42862</xdr:rowOff>
    </xdr:from>
    <xdr:to>
      <xdr:col>28</xdr:col>
      <xdr:colOff>28574</xdr:colOff>
      <xdr:row>24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19049</xdr:colOff>
      <xdr:row>5</xdr:row>
      <xdr:rowOff>119062</xdr:rowOff>
    </xdr:from>
    <xdr:to>
      <xdr:col>25</xdr:col>
      <xdr:colOff>581024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4</xdr:row>
      <xdr:rowOff>42862</xdr:rowOff>
    </xdr:from>
    <xdr:to>
      <xdr:col>28</xdr:col>
      <xdr:colOff>28574</xdr:colOff>
      <xdr:row>24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523875</xdr:colOff>
      <xdr:row>4</xdr:row>
      <xdr:rowOff>42862</xdr:rowOff>
    </xdr:from>
    <xdr:to>
      <xdr:col>27</xdr:col>
      <xdr:colOff>123825</xdr:colOff>
      <xdr:row>27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261937</xdr:colOff>
      <xdr:row>4</xdr:row>
      <xdr:rowOff>42862</xdr:rowOff>
    </xdr:from>
    <xdr:to>
      <xdr:col>28</xdr:col>
      <xdr:colOff>28575</xdr:colOff>
      <xdr:row>31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261937</xdr:colOff>
      <xdr:row>4</xdr:row>
      <xdr:rowOff>42862</xdr:rowOff>
    </xdr:from>
    <xdr:to>
      <xdr:col>28</xdr:col>
      <xdr:colOff>28575</xdr:colOff>
      <xdr:row>31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261937</xdr:colOff>
      <xdr:row>4</xdr:row>
      <xdr:rowOff>42862</xdr:rowOff>
    </xdr:from>
    <xdr:to>
      <xdr:col>28</xdr:col>
      <xdr:colOff>28575</xdr:colOff>
      <xdr:row>31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76199</xdr:colOff>
      <xdr:row>4</xdr:row>
      <xdr:rowOff>42862</xdr:rowOff>
    </xdr:from>
    <xdr:to>
      <xdr:col>28</xdr:col>
      <xdr:colOff>28574</xdr:colOff>
      <xdr:row>24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3"/>
  <dimension ref="B2:P59"/>
  <sheetViews>
    <sheetView tabSelected="1" topLeftCell="A13" workbookViewId="0">
      <selection activeCell="P47" sqref="P47"/>
    </sheetView>
  </sheetViews>
  <sheetFormatPr defaultRowHeight="12.75" x14ac:dyDescent="0.2"/>
  <cols>
    <col min="2" max="2" width="13.5703125" bestFit="1" customWidth="1"/>
    <col min="3" max="3" width="11.85546875" bestFit="1" customWidth="1"/>
    <col min="4" max="6" width="10.7109375" bestFit="1" customWidth="1"/>
    <col min="7" max="7" width="11.85546875" bestFit="1" customWidth="1"/>
    <col min="8" max="8" width="13.28515625" customWidth="1"/>
    <col min="9" max="9" width="13.7109375" customWidth="1"/>
    <col min="10" max="10" width="12.85546875" customWidth="1"/>
    <col min="11" max="11" width="11.85546875" customWidth="1"/>
    <col min="12" max="12" width="11.42578125" customWidth="1"/>
    <col min="13" max="13" width="14.5703125" customWidth="1"/>
  </cols>
  <sheetData>
    <row r="2" spans="2:13" x14ac:dyDescent="0.2">
      <c r="C2" t="s">
        <v>94</v>
      </c>
    </row>
    <row r="3" spans="2:13" x14ac:dyDescent="0.2">
      <c r="B3" t="s">
        <v>142</v>
      </c>
      <c r="C3" t="s">
        <v>186</v>
      </c>
    </row>
    <row r="4" spans="2:13" x14ac:dyDescent="0.2">
      <c r="B4" t="s">
        <v>63</v>
      </c>
      <c r="C4" s="61">
        <v>41340</v>
      </c>
      <c r="D4" s="61">
        <f>WORKDAY(C4,2)</f>
        <v>41344</v>
      </c>
    </row>
    <row r="5" spans="2:13" x14ac:dyDescent="0.2">
      <c r="B5" t="s">
        <v>64</v>
      </c>
      <c r="C5" s="61">
        <f>C4+365</f>
        <v>41705</v>
      </c>
      <c r="D5" s="61">
        <f>WORKDAY(C5,2)</f>
        <v>41709</v>
      </c>
      <c r="H5" t="s">
        <v>281</v>
      </c>
      <c r="I5" t="s">
        <v>284</v>
      </c>
      <c r="J5" t="s">
        <v>283</v>
      </c>
      <c r="K5" t="s">
        <v>282</v>
      </c>
      <c r="L5" t="s">
        <v>286</v>
      </c>
    </row>
    <row r="6" spans="2:13" x14ac:dyDescent="0.2">
      <c r="B6" t="s">
        <v>65</v>
      </c>
      <c r="C6" s="97">
        <v>100</v>
      </c>
      <c r="G6" t="s">
        <v>275</v>
      </c>
      <c r="H6" t="s">
        <v>276</v>
      </c>
      <c r="I6" t="s">
        <v>279</v>
      </c>
      <c r="J6" t="s">
        <v>278</v>
      </c>
      <c r="K6" t="s">
        <v>277</v>
      </c>
      <c r="L6" t="s">
        <v>280</v>
      </c>
      <c r="M6" t="s">
        <v>285</v>
      </c>
    </row>
    <row r="7" spans="2:13" x14ac:dyDescent="0.2">
      <c r="B7" t="s">
        <v>66</v>
      </c>
      <c r="C7" s="57">
        <v>100</v>
      </c>
      <c r="G7">
        <v>1</v>
      </c>
      <c r="H7" s="73">
        <f>2^(LOG($G7))</f>
        <v>1</v>
      </c>
      <c r="I7" s="73">
        <f>G7^(5/2)</f>
        <v>1</v>
      </c>
      <c r="J7" s="73">
        <f t="shared" ref="J7:J30" si="0">G7*G7*LOG(G7)</f>
        <v>0</v>
      </c>
      <c r="K7" s="73">
        <f t="shared" ref="K7:K30" si="1">2^(2^LOG(G7))</f>
        <v>2</v>
      </c>
      <c r="L7" s="73">
        <f>2^(G7^2)</f>
        <v>2</v>
      </c>
      <c r="M7" s="73">
        <f>(2^G7)^2</f>
        <v>4</v>
      </c>
    </row>
    <row r="8" spans="2:13" x14ac:dyDescent="0.2">
      <c r="B8" t="s">
        <v>67</v>
      </c>
      <c r="C8" s="57">
        <v>100</v>
      </c>
      <c r="G8">
        <f>G7*2</f>
        <v>2</v>
      </c>
      <c r="H8" s="73">
        <f t="shared" ref="H8:H30" si="2">2^(LOG($G8))</f>
        <v>1.2320236886890061</v>
      </c>
      <c r="I8" s="73">
        <f t="shared" ref="I8:I17" si="3">G8^(5/2)</f>
        <v>5.6568542494923806</v>
      </c>
      <c r="J8" s="73">
        <f t="shared" si="0"/>
        <v>1.2041199826559248</v>
      </c>
      <c r="K8" s="73">
        <f t="shared" si="1"/>
        <v>2.3489625114831489</v>
      </c>
      <c r="L8" s="73">
        <f>2^(G8^2)</f>
        <v>16</v>
      </c>
      <c r="M8" s="73">
        <f t="shared" ref="M8:M13" si="4">(2^G8)^2</f>
        <v>16</v>
      </c>
    </row>
    <row r="9" spans="2:13" x14ac:dyDescent="0.2">
      <c r="B9" t="s">
        <v>143</v>
      </c>
      <c r="C9" s="54">
        <f>EXP(0.05)-1</f>
        <v>5.1271096376024117E-2</v>
      </c>
      <c r="G9">
        <f t="shared" ref="G9:G17" si="5">G8*2</f>
        <v>4</v>
      </c>
      <c r="H9" s="73">
        <f t="shared" si="2"/>
        <v>1.517882369490865</v>
      </c>
      <c r="I9" s="73">
        <f t="shared" si="3"/>
        <v>32</v>
      </c>
      <c r="J9" s="73">
        <f t="shared" si="0"/>
        <v>9.6329598612473983</v>
      </c>
      <c r="K9" s="73">
        <f t="shared" si="1"/>
        <v>2.8637039800466604</v>
      </c>
      <c r="L9" s="73">
        <f>2^(G9^2)</f>
        <v>65536</v>
      </c>
      <c r="M9" s="73">
        <f t="shared" si="4"/>
        <v>256</v>
      </c>
    </row>
    <row r="10" spans="2:13" x14ac:dyDescent="0.2">
      <c r="B10" t="s">
        <v>144</v>
      </c>
      <c r="C10" t="s">
        <v>53</v>
      </c>
      <c r="G10">
        <f t="shared" si="5"/>
        <v>8</v>
      </c>
      <c r="H10" s="73">
        <f t="shared" si="2"/>
        <v>1.8700670358561444</v>
      </c>
      <c r="I10" s="73">
        <f t="shared" si="3"/>
        <v>181.01933598375612</v>
      </c>
      <c r="J10" s="73">
        <f t="shared" si="0"/>
        <v>57.797759167484386</v>
      </c>
      <c r="K10" s="73">
        <f t="shared" si="1"/>
        <v>3.6554956521894404</v>
      </c>
      <c r="L10" s="73">
        <f>2^(G10^2)</f>
        <v>1.8446744073709552E+19</v>
      </c>
      <c r="M10" s="73">
        <f t="shared" si="4"/>
        <v>65536</v>
      </c>
    </row>
    <row r="11" spans="2:13" x14ac:dyDescent="0.2">
      <c r="B11" t="s">
        <v>145</v>
      </c>
      <c r="C11" s="54">
        <v>0.2</v>
      </c>
      <c r="G11">
        <f t="shared" si="5"/>
        <v>16</v>
      </c>
      <c r="H11" s="73">
        <f t="shared" si="2"/>
        <v>2.3039668876112027</v>
      </c>
      <c r="I11" s="73">
        <f t="shared" si="3"/>
        <v>1024</v>
      </c>
      <c r="J11" s="73">
        <f t="shared" si="0"/>
        <v>308.25471555991675</v>
      </c>
      <c r="K11" s="73">
        <f t="shared" si="1"/>
        <v>4.9381370873414552</v>
      </c>
      <c r="L11" s="73"/>
      <c r="M11" s="73">
        <f t="shared" si="4"/>
        <v>4294967296</v>
      </c>
    </row>
    <row r="12" spans="2:13" x14ac:dyDescent="0.2">
      <c r="B12" t="s">
        <v>147</v>
      </c>
      <c r="C12" t="s">
        <v>148</v>
      </c>
      <c r="G12">
        <f t="shared" si="5"/>
        <v>32</v>
      </c>
      <c r="H12" s="73">
        <f t="shared" si="2"/>
        <v>2.8385417834920834</v>
      </c>
      <c r="I12" s="73">
        <f t="shared" si="3"/>
        <v>5792.6187514801986</v>
      </c>
      <c r="J12" s="73">
        <f t="shared" si="0"/>
        <v>1541.2735777995838</v>
      </c>
      <c r="K12" s="73">
        <f t="shared" si="1"/>
        <v>7.1529669890018415</v>
      </c>
      <c r="L12" s="73"/>
      <c r="M12" s="73">
        <f t="shared" si="4"/>
        <v>1.8446744073709552E+19</v>
      </c>
    </row>
    <row r="13" spans="2:13" x14ac:dyDescent="0.2">
      <c r="B13" t="s">
        <v>138</v>
      </c>
      <c r="C13" s="58">
        <f>Vanilla(C2,C3,C4,C5,C6,C7,C8,C9,C10,C11,$B13,C12)</f>
        <v>0.5131437054829926</v>
      </c>
      <c r="G13">
        <f t="shared" si="5"/>
        <v>64</v>
      </c>
      <c r="H13" s="73">
        <f t="shared" si="2"/>
        <v>3.497150718595786</v>
      </c>
      <c r="I13" s="73">
        <f t="shared" si="3"/>
        <v>32767.999999999985</v>
      </c>
      <c r="J13" s="73">
        <f t="shared" si="0"/>
        <v>7398.1131734380015</v>
      </c>
      <c r="K13" s="73">
        <f t="shared" si="1"/>
        <v>11.291386298697574</v>
      </c>
      <c r="L13" s="73"/>
      <c r="M13" s="73">
        <f t="shared" si="4"/>
        <v>3.4028236692093846E+38</v>
      </c>
    </row>
    <row r="14" spans="2:13" x14ac:dyDescent="0.2">
      <c r="B14" t="s">
        <v>149</v>
      </c>
      <c r="C14" s="58">
        <f>Vanilla(C2,C3,C4,C5,C6,C7,C8,C9,C10,C11,$B14,C12)</f>
        <v>1.8866540849776493E-2</v>
      </c>
      <c r="G14">
        <f t="shared" si="5"/>
        <v>128</v>
      </c>
      <c r="H14" s="73">
        <f t="shared" si="2"/>
        <v>4.3085725282257892</v>
      </c>
      <c r="I14" s="73">
        <f t="shared" si="3"/>
        <v>185363.80004736609</v>
      </c>
      <c r="J14" s="73">
        <f t="shared" si="0"/>
        <v>34524.528142710675</v>
      </c>
      <c r="K14" s="73">
        <f t="shared" si="1"/>
        <v>19.815706883711261</v>
      </c>
      <c r="L14" s="73"/>
      <c r="M14" s="73"/>
    </row>
    <row r="15" spans="2:13" x14ac:dyDescent="0.2">
      <c r="B15" t="s">
        <v>137</v>
      </c>
      <c r="C15" s="146">
        <f>Vanilla(C2,C3,C4,C5,C6,C7,C8,C9,C10,C11,$B15,C12)</f>
        <v>7.571833314092995</v>
      </c>
      <c r="G15">
        <f t="shared" si="5"/>
        <v>256</v>
      </c>
      <c r="H15" s="73">
        <f t="shared" si="2"/>
        <v>5.3082634192088536</v>
      </c>
      <c r="I15" s="73">
        <f t="shared" si="3"/>
        <v>1048576</v>
      </c>
      <c r="J15" s="73">
        <f t="shared" si="0"/>
        <v>157826.41436667737</v>
      </c>
      <c r="K15" s="73">
        <f t="shared" si="1"/>
        <v>39.622923327849591</v>
      </c>
      <c r="L15" s="73"/>
      <c r="M15" s="73"/>
    </row>
    <row r="16" spans="2:13" x14ac:dyDescent="0.2">
      <c r="G16">
        <f t="shared" si="5"/>
        <v>512</v>
      </c>
      <c r="H16" s="73">
        <f t="shared" si="2"/>
        <v>6.5399062782666073</v>
      </c>
      <c r="I16" s="73">
        <f t="shared" si="3"/>
        <v>5931641.6015157178</v>
      </c>
      <c r="J16" s="73">
        <f t="shared" si="0"/>
        <v>710218.8646500482</v>
      </c>
      <c r="K16" s="73">
        <f t="shared" si="1"/>
        <v>93.048196226346931</v>
      </c>
      <c r="L16" s="73"/>
      <c r="M16" s="73"/>
    </row>
    <row r="17" spans="7:16" x14ac:dyDescent="0.2">
      <c r="G17" s="65">
        <f t="shared" si="5"/>
        <v>1024</v>
      </c>
      <c r="H17" s="73">
        <f t="shared" si="2"/>
        <v>8.0573194566304167</v>
      </c>
      <c r="I17" s="73">
        <f t="shared" si="3"/>
        <v>33554432.000000015</v>
      </c>
      <c r="J17" s="73">
        <f t="shared" si="0"/>
        <v>3156528.2873335476</v>
      </c>
      <c r="K17" s="73">
        <f t="shared" si="1"/>
        <v>266.37584542641417</v>
      </c>
      <c r="L17" s="73"/>
      <c r="M17" s="73"/>
    </row>
    <row r="18" spans="7:16" x14ac:dyDescent="0.2">
      <c r="G18" s="65">
        <f t="shared" ref="G18:G30" si="6">G17*2</f>
        <v>2048</v>
      </c>
      <c r="H18" s="73">
        <f t="shared" si="2"/>
        <v>9.9268084379035049</v>
      </c>
      <c r="I18" s="73">
        <f t="shared" ref="I18:I30" si="7">G18^(5/2)</f>
        <v>189812531.24850339</v>
      </c>
      <c r="J18" s="73">
        <f t="shared" si="0"/>
        <v>13888724.46426761</v>
      </c>
      <c r="K18" s="73">
        <f t="shared" si="1"/>
        <v>973.34566953285218</v>
      </c>
      <c r="L18" s="73"/>
      <c r="M18" s="73"/>
    </row>
    <row r="19" spans="7:16" x14ac:dyDescent="0.2">
      <c r="G19" s="65">
        <f t="shared" si="6"/>
        <v>4096</v>
      </c>
      <c r="H19" s="73">
        <f t="shared" si="2"/>
        <v>12.230063148575022</v>
      </c>
      <c r="I19" s="73">
        <f t="shared" si="7"/>
        <v>1073741823.999999</v>
      </c>
      <c r="J19" s="73">
        <f t="shared" si="0"/>
        <v>60605343.116804108</v>
      </c>
      <c r="K19" s="73">
        <f t="shared" si="1"/>
        <v>4804.1422307946214</v>
      </c>
      <c r="L19" s="73"/>
      <c r="M19" s="73"/>
    </row>
    <row r="20" spans="7:16" x14ac:dyDescent="0.2">
      <c r="G20" s="65">
        <f t="shared" si="6"/>
        <v>8192</v>
      </c>
      <c r="H20" s="73">
        <f t="shared" si="2"/>
        <v>15.067727513206879</v>
      </c>
      <c r="I20" s="73">
        <f t="shared" si="7"/>
        <v>6074000999.9520788</v>
      </c>
      <c r="J20" s="73">
        <f t="shared" si="0"/>
        <v>262623153.50615114</v>
      </c>
      <c r="K20" s="73">
        <f t="shared" si="1"/>
        <v>34342.977708373357</v>
      </c>
      <c r="L20" s="73"/>
      <c r="M20" s="73"/>
    </row>
    <row r="21" spans="7:16" x14ac:dyDescent="0.2">
      <c r="G21" s="65">
        <f t="shared" si="6"/>
        <v>16384</v>
      </c>
      <c r="H21" s="73">
        <f t="shared" si="2"/>
        <v>18.563797230981965</v>
      </c>
      <c r="I21" s="73">
        <f t="shared" si="7"/>
        <v>34359738367.999924</v>
      </c>
      <c r="J21" s="73">
        <f t="shared" si="0"/>
        <v>1131299738.1803434</v>
      </c>
      <c r="K21" s="73">
        <f t="shared" si="1"/>
        <v>387489.37620001019</v>
      </c>
      <c r="L21" s="73"/>
      <c r="M21" s="73"/>
      <c r="P21">
        <v>1</v>
      </c>
    </row>
    <row r="22" spans="7:16" x14ac:dyDescent="0.2">
      <c r="G22" s="65">
        <f t="shared" si="6"/>
        <v>32768</v>
      </c>
      <c r="H22" s="73">
        <f t="shared" si="2"/>
        <v>22.871037940589158</v>
      </c>
      <c r="I22" s="73">
        <f t="shared" si="7"/>
        <v>194368031998.46695</v>
      </c>
      <c r="J22" s="73">
        <f t="shared" si="0"/>
        <v>4848427449.3443289</v>
      </c>
      <c r="K22" s="73">
        <f t="shared" si="1"/>
        <v>7671290.9056187551</v>
      </c>
      <c r="L22" s="73"/>
      <c r="M22" s="73"/>
      <c r="P22">
        <v>1</v>
      </c>
    </row>
    <row r="23" spans="7:16" x14ac:dyDescent="0.2">
      <c r="G23" s="65">
        <f t="shared" si="6"/>
        <v>65536</v>
      </c>
      <c r="H23" s="73">
        <f t="shared" si="2"/>
        <v>28.177660527710866</v>
      </c>
      <c r="I23" s="73">
        <f t="shared" si="7"/>
        <v>1099511627776</v>
      </c>
      <c r="J23" s="73">
        <f t="shared" si="0"/>
        <v>20686623783.869137</v>
      </c>
      <c r="K23" s="73">
        <f t="shared" si="1"/>
        <v>303613463.76608026</v>
      </c>
      <c r="L23" s="73"/>
      <c r="M23" s="73"/>
      <c r="P23">
        <f>2/7</f>
        <v>0.2857142857142857</v>
      </c>
    </row>
    <row r="24" spans="7:16" x14ac:dyDescent="0.2">
      <c r="G24" s="65">
        <f t="shared" si="6"/>
        <v>131072</v>
      </c>
      <c r="H24" s="73">
        <f t="shared" si="2"/>
        <v>34.715545261976949</v>
      </c>
      <c r="I24" s="73">
        <f t="shared" si="7"/>
        <v>6219777023950.9561</v>
      </c>
      <c r="J24" s="73">
        <f t="shared" si="0"/>
        <v>87918151081.443832</v>
      </c>
      <c r="K24" s="73">
        <f t="shared" si="1"/>
        <v>28211127237.141563</v>
      </c>
      <c r="L24" s="73"/>
      <c r="M24" s="73"/>
      <c r="P24">
        <f>2/7</f>
        <v>0.2857142857142857</v>
      </c>
    </row>
    <row r="25" spans="7:16" x14ac:dyDescent="0.2">
      <c r="G25" s="65">
        <f t="shared" si="6"/>
        <v>262144</v>
      </c>
      <c r="H25" s="73">
        <f t="shared" si="2"/>
        <v>42.770374128510987</v>
      </c>
      <c r="I25" s="73">
        <f t="shared" si="7"/>
        <v>35184372088831.953</v>
      </c>
      <c r="J25" s="73">
        <f t="shared" si="0"/>
        <v>372359228109.64447</v>
      </c>
      <c r="K25" s="73">
        <f t="shared" si="1"/>
        <v>7501800982705.8369</v>
      </c>
      <c r="L25" s="73"/>
      <c r="M25" s="73"/>
      <c r="P25">
        <f>2/3</f>
        <v>0.66666666666666663</v>
      </c>
    </row>
    <row r="26" spans="7:16" x14ac:dyDescent="0.2">
      <c r="G26" s="65">
        <f t="shared" si="6"/>
        <v>524288</v>
      </c>
      <c r="H26" s="73">
        <f t="shared" si="2"/>
        <v>52.694114100416947</v>
      </c>
      <c r="I26" s="73">
        <f t="shared" si="7"/>
        <v>199032864766431.03</v>
      </c>
      <c r="J26" s="73">
        <f t="shared" si="0"/>
        <v>1572183407574.0544</v>
      </c>
      <c r="K26" s="73">
        <f t="shared" si="1"/>
        <v>7286331719539072</v>
      </c>
      <c r="L26" s="73"/>
      <c r="M26" s="73"/>
      <c r="P26">
        <f>SUM(P21:P25)</f>
        <v>3.2380952380952377</v>
      </c>
    </row>
    <row r="27" spans="7:16" x14ac:dyDescent="0.2">
      <c r="G27" s="65">
        <f t="shared" si="6"/>
        <v>1048576</v>
      </c>
      <c r="H27" s="73">
        <f t="shared" si="2"/>
        <v>64.920396826195088</v>
      </c>
      <c r="I27" s="73">
        <f t="shared" si="7"/>
        <v>1125899906842625</v>
      </c>
      <c r="J27" s="73">
        <f t="shared" si="0"/>
        <v>6619719610838.124</v>
      </c>
      <c r="K27" s="73">
        <f t="shared" si="1"/>
        <v>3.4912968380367938E+19</v>
      </c>
      <c r="L27" s="73"/>
      <c r="M27" s="63" cm="1">
        <f t="array" ref="M27">Digital("EURUSD","USD","PUT",0,365,80,100,100,0,"USD",0.346,"PREMIUM","RHS")</f>
        <v>0.31849068457552887</v>
      </c>
    </row>
    <row r="28" spans="7:16" x14ac:dyDescent="0.2">
      <c r="G28" s="65">
        <f t="shared" si="6"/>
        <v>2097152</v>
      </c>
      <c r="H28" s="73">
        <f t="shared" si="2"/>
        <v>79.983466768962913</v>
      </c>
      <c r="I28" s="73">
        <f t="shared" si="7"/>
        <v>6369051672525762</v>
      </c>
      <c r="J28" s="73">
        <f t="shared" si="0"/>
        <v>27802822365520.121</v>
      </c>
      <c r="K28" s="73">
        <f t="shared" si="1"/>
        <v>1.1951506572621117E+24</v>
      </c>
      <c r="L28" s="73"/>
      <c r="M28" s="73"/>
      <c r="P28">
        <v>1</v>
      </c>
    </row>
    <row r="29" spans="7:16" x14ac:dyDescent="0.2">
      <c r="G29" s="65">
        <f t="shared" si="6"/>
        <v>4194304</v>
      </c>
      <c r="H29" s="73">
        <f t="shared" si="2"/>
        <v>98.541525762832237</v>
      </c>
      <c r="I29" s="73">
        <f t="shared" si="7"/>
        <v>3.602879701896408E+16</v>
      </c>
      <c r="J29" s="73">
        <f t="shared" si="0"/>
        <v>116507065150750.98</v>
      </c>
      <c r="K29" s="73">
        <f t="shared" si="1"/>
        <v>4.6126985465146484E+29</v>
      </c>
      <c r="L29" s="73"/>
      <c r="M29" s="73"/>
      <c r="P29">
        <v>1</v>
      </c>
    </row>
    <row r="30" spans="7:16" x14ac:dyDescent="0.2">
      <c r="G30" s="65">
        <f t="shared" si="6"/>
        <v>8388608</v>
      </c>
      <c r="H30" s="73">
        <f t="shared" si="2"/>
        <v>121.40549405936719</v>
      </c>
      <c r="I30" s="73">
        <f t="shared" si="7"/>
        <v>2.0380965352082483E+17</v>
      </c>
      <c r="J30" s="73">
        <f t="shared" si="0"/>
        <v>487211363357685.88</v>
      </c>
      <c r="K30" s="73">
        <f t="shared" si="1"/>
        <v>3.5212377592529279E+36</v>
      </c>
      <c r="L30" s="73"/>
      <c r="M30" s="73"/>
      <c r="P30">
        <v>1</v>
      </c>
    </row>
    <row r="31" spans="7:16" x14ac:dyDescent="0.2">
      <c r="P31">
        <v>1</v>
      </c>
    </row>
    <row r="32" spans="7:16" x14ac:dyDescent="0.2">
      <c r="P32">
        <v>1</v>
      </c>
    </row>
    <row r="33" spans="2:16" x14ac:dyDescent="0.2">
      <c r="C33" s="57">
        <v>3360</v>
      </c>
      <c r="D33" s="57">
        <v>3960</v>
      </c>
      <c r="M33">
        <f>11+8/21</f>
        <v>11.380952380952381</v>
      </c>
      <c r="P33">
        <f>2/7*5</f>
        <v>1.4285714285714284</v>
      </c>
    </row>
    <row r="34" spans="2:16" x14ac:dyDescent="0.2">
      <c r="C34" s="57">
        <f>3*C33</f>
        <v>10080</v>
      </c>
      <c r="D34" s="57">
        <f>3*D33</f>
        <v>11880</v>
      </c>
      <c r="M34">
        <v>14</v>
      </c>
      <c r="P34">
        <v>1</v>
      </c>
    </row>
    <row r="35" spans="2:16" x14ac:dyDescent="0.2">
      <c r="M35">
        <f>M33/M34</f>
        <v>0.81292517006802723</v>
      </c>
      <c r="P35">
        <v>1</v>
      </c>
    </row>
    <row r="36" spans="2:16" x14ac:dyDescent="0.2">
      <c r="B36" s="57">
        <v>47619.047619047626</v>
      </c>
      <c r="C36" s="65">
        <f>$B36/C$58/2</f>
        <v>3078448.8806570582</v>
      </c>
      <c r="D36" s="65">
        <f t="shared" ref="D36:J36" si="8">$B36/D$58/2</f>
        <v>1777545.2477002223</v>
      </c>
      <c r="E36" s="65">
        <f t="shared" si="8"/>
        <v>1257128.1587881066</v>
      </c>
      <c r="F36" s="65">
        <f t="shared" si="8"/>
        <v>960380.68629385356</v>
      </c>
      <c r="G36" s="65">
        <f t="shared" si="8"/>
        <v>706965.36697888724</v>
      </c>
      <c r="H36" s="65">
        <f t="shared" si="8"/>
        <v>543945.82536033331</v>
      </c>
      <c r="I36" s="65">
        <f t="shared" si="8"/>
        <v>404537.45244034909</v>
      </c>
      <c r="J36" s="65">
        <f t="shared" si="8"/>
        <v>294771.68884495174</v>
      </c>
      <c r="P36">
        <f>2/3</f>
        <v>0.66666666666666663</v>
      </c>
    </row>
    <row r="37" spans="2:16" x14ac:dyDescent="0.2">
      <c r="B37" s="57">
        <v>116279.06976744186</v>
      </c>
      <c r="C37" s="65">
        <f t="shared" ref="C37:J41" si="9">$B37/C$58/2</f>
        <v>7517142.6155579323</v>
      </c>
      <c r="D37" s="65">
        <f t="shared" si="9"/>
        <v>4340517.4653144963</v>
      </c>
      <c r="E37" s="65">
        <f t="shared" si="9"/>
        <v>3069731.5505290972</v>
      </c>
      <c r="F37" s="65">
        <f t="shared" si="9"/>
        <v>2345115.6293222001</v>
      </c>
      <c r="G37" s="65">
        <f t="shared" si="9"/>
        <v>1726310.7798321664</v>
      </c>
      <c r="H37" s="65">
        <f t="shared" si="9"/>
        <v>1328239.8061124417</v>
      </c>
      <c r="I37" s="65">
        <f t="shared" si="9"/>
        <v>987824.01177294529</v>
      </c>
      <c r="J37" s="65">
        <f t="shared" si="9"/>
        <v>719791.3332260449</v>
      </c>
      <c r="M37">
        <f>M33+2</f>
        <v>13.380952380952381</v>
      </c>
      <c r="P37">
        <f>2/3</f>
        <v>0.66666666666666663</v>
      </c>
    </row>
    <row r="38" spans="2:16" x14ac:dyDescent="0.2">
      <c r="B38" s="57">
        <v>79365.079365079364</v>
      </c>
      <c r="C38" s="65">
        <f t="shared" si="9"/>
        <v>5130748.1344284294</v>
      </c>
      <c r="D38" s="65">
        <f t="shared" si="9"/>
        <v>2962575.4128337037</v>
      </c>
      <c r="E38" s="65">
        <f t="shared" si="9"/>
        <v>2095213.5979801773</v>
      </c>
      <c r="F38" s="65">
        <f t="shared" si="9"/>
        <v>1600634.4771564223</v>
      </c>
      <c r="G38" s="65">
        <f t="shared" si="9"/>
        <v>1178275.6116314786</v>
      </c>
      <c r="H38" s="65">
        <f t="shared" si="9"/>
        <v>906576.37560055545</v>
      </c>
      <c r="I38" s="65">
        <f t="shared" si="9"/>
        <v>674229.08740058169</v>
      </c>
      <c r="J38" s="65">
        <f t="shared" si="9"/>
        <v>491286.14807491953</v>
      </c>
      <c r="M38">
        <f>M37/M34</f>
        <v>0.95578231292517013</v>
      </c>
      <c r="P38">
        <v>1</v>
      </c>
    </row>
    <row r="39" spans="2:16" x14ac:dyDescent="0.2">
      <c r="B39" s="57">
        <v>72463.768115942032</v>
      </c>
      <c r="C39" s="65">
        <f t="shared" si="9"/>
        <v>4684596.1227390012</v>
      </c>
      <c r="D39" s="65">
        <f t="shared" si="9"/>
        <v>2704960.1595438165</v>
      </c>
      <c r="E39" s="65">
        <f t="shared" si="9"/>
        <v>1913021.1111992924</v>
      </c>
      <c r="F39" s="65">
        <f t="shared" si="9"/>
        <v>1461448.8704471684</v>
      </c>
      <c r="G39" s="65">
        <f t="shared" si="9"/>
        <v>1075816.8627939587</v>
      </c>
      <c r="H39" s="65">
        <f t="shared" si="9"/>
        <v>827743.64728746365</v>
      </c>
      <c r="I39" s="65">
        <f t="shared" si="9"/>
        <v>615600.47110487893</v>
      </c>
      <c r="J39" s="65">
        <f t="shared" si="9"/>
        <v>448565.61345970916</v>
      </c>
      <c r="P39">
        <v>1</v>
      </c>
    </row>
    <row r="40" spans="2:16" x14ac:dyDescent="0.2">
      <c r="B40" s="57">
        <v>70921.985815602835</v>
      </c>
      <c r="C40" s="65">
        <f t="shared" si="9"/>
        <v>4584923.8648083834</v>
      </c>
      <c r="D40" s="65">
        <f t="shared" si="9"/>
        <v>2647407.8157237349</v>
      </c>
      <c r="E40" s="65">
        <f t="shared" si="9"/>
        <v>1872318.5343652647</v>
      </c>
      <c r="F40" s="65">
        <f t="shared" si="9"/>
        <v>1430354.2136291433</v>
      </c>
      <c r="G40" s="65">
        <f t="shared" si="9"/>
        <v>1052927.1423089809</v>
      </c>
      <c r="H40" s="65">
        <f t="shared" si="9"/>
        <v>810132.08032390056</v>
      </c>
      <c r="I40" s="65">
        <f t="shared" si="9"/>
        <v>602502.58874094533</v>
      </c>
      <c r="J40" s="65">
        <f t="shared" si="9"/>
        <v>439021.66423716216</v>
      </c>
      <c r="M40">
        <f>2/7+2/7+2/3</f>
        <v>1.2380952380952381</v>
      </c>
      <c r="P40">
        <f>SUM(P28:P39)</f>
        <v>11.761904761904761</v>
      </c>
    </row>
    <row r="41" spans="2:16" x14ac:dyDescent="0.2">
      <c r="B41" s="57">
        <v>40322.580645161295</v>
      </c>
      <c r="C41" s="65">
        <f t="shared" si="9"/>
        <v>2606751.0682983156</v>
      </c>
      <c r="D41" s="65">
        <f t="shared" si="9"/>
        <v>1505179.4436171236</v>
      </c>
      <c r="E41" s="65">
        <f t="shared" si="9"/>
        <v>1064503.6828447676</v>
      </c>
      <c r="F41" s="65">
        <f t="shared" si="9"/>
        <v>813225.58113592444</v>
      </c>
      <c r="G41" s="65">
        <f t="shared" si="9"/>
        <v>598640.02849018679</v>
      </c>
      <c r="H41" s="65">
        <f t="shared" si="9"/>
        <v>460599.28760350804</v>
      </c>
      <c r="I41" s="65">
        <f t="shared" si="9"/>
        <v>342551.87505029561</v>
      </c>
      <c r="J41" s="65">
        <f t="shared" si="9"/>
        <v>249605.05910258013</v>
      </c>
    </row>
    <row r="42" spans="2:16" x14ac:dyDescent="0.2">
      <c r="P42">
        <f>P40+P26</f>
        <v>14.999999999999998</v>
      </c>
    </row>
    <row r="43" spans="2:16" x14ac:dyDescent="0.2">
      <c r="P43">
        <f>P40/P42</f>
        <v>0.78412698412698412</v>
      </c>
    </row>
    <row r="44" spans="2:16" x14ac:dyDescent="0.2">
      <c r="C44" t="s">
        <v>94</v>
      </c>
      <c r="D44" t="s">
        <v>94</v>
      </c>
      <c r="E44" t="s">
        <v>94</v>
      </c>
      <c r="F44" t="s">
        <v>94</v>
      </c>
      <c r="G44" t="s">
        <v>94</v>
      </c>
      <c r="H44" t="s">
        <v>94</v>
      </c>
      <c r="I44" t="s">
        <v>94</v>
      </c>
      <c r="J44" t="s">
        <v>94</v>
      </c>
    </row>
    <row r="45" spans="2:16" x14ac:dyDescent="0.2">
      <c r="B45" t="s">
        <v>142</v>
      </c>
      <c r="C45" t="s">
        <v>186</v>
      </c>
      <c r="D45" t="s">
        <v>186</v>
      </c>
      <c r="E45" t="s">
        <v>186</v>
      </c>
      <c r="F45" t="s">
        <v>186</v>
      </c>
      <c r="G45" t="s">
        <v>186</v>
      </c>
      <c r="H45" t="s">
        <v>186</v>
      </c>
      <c r="I45" t="s">
        <v>186</v>
      </c>
      <c r="J45" t="s">
        <v>186</v>
      </c>
      <c r="P45">
        <f>P40+2</f>
        <v>13.761904761904761</v>
      </c>
    </row>
    <row r="46" spans="2:16" x14ac:dyDescent="0.2">
      <c r="B46" t="s">
        <v>63</v>
      </c>
      <c r="C46" s="61">
        <v>41771</v>
      </c>
      <c r="D46" s="61">
        <v>41771</v>
      </c>
      <c r="E46" s="61">
        <v>41771</v>
      </c>
      <c r="F46" s="61">
        <v>41771</v>
      </c>
      <c r="G46" s="61">
        <v>41771</v>
      </c>
      <c r="H46" s="61">
        <v>41771</v>
      </c>
      <c r="I46" s="61">
        <v>41771</v>
      </c>
      <c r="J46" s="61">
        <v>41771</v>
      </c>
      <c r="P46">
        <f>P45/P42</f>
        <v>0.91746031746031753</v>
      </c>
    </row>
    <row r="47" spans="2:16" x14ac:dyDescent="0.2">
      <c r="B47" t="s">
        <v>287</v>
      </c>
      <c r="C47" s="57">
        <v>7</v>
      </c>
      <c r="D47" s="57">
        <v>14</v>
      </c>
      <c r="E47" s="57">
        <v>21</v>
      </c>
      <c r="F47" s="57">
        <v>30</v>
      </c>
      <c r="G47" s="57">
        <v>61</v>
      </c>
      <c r="H47" s="57">
        <v>92</v>
      </c>
      <c r="I47" s="57">
        <v>183</v>
      </c>
      <c r="J47" s="57">
        <v>365</v>
      </c>
    </row>
    <row r="48" spans="2:16" x14ac:dyDescent="0.2">
      <c r="B48" t="s">
        <v>64</v>
      </c>
      <c r="C48" s="61">
        <f>C46+C47</f>
        <v>41778</v>
      </c>
      <c r="D48" s="61">
        <f>C48+D47</f>
        <v>41792</v>
      </c>
      <c r="E48" s="61">
        <f t="shared" ref="E48:J48" si="10">D48+E47</f>
        <v>41813</v>
      </c>
      <c r="F48" s="61">
        <f t="shared" si="10"/>
        <v>41843</v>
      </c>
      <c r="G48" s="61">
        <f t="shared" si="10"/>
        <v>41904</v>
      </c>
      <c r="H48" s="61">
        <f t="shared" si="10"/>
        <v>41996</v>
      </c>
      <c r="I48" s="61">
        <f t="shared" si="10"/>
        <v>42179</v>
      </c>
      <c r="J48" s="61">
        <f t="shared" si="10"/>
        <v>42544</v>
      </c>
    </row>
    <row r="49" spans="2:10" x14ac:dyDescent="0.2">
      <c r="B49" t="s">
        <v>65</v>
      </c>
      <c r="C49" s="147">
        <f>C50</f>
        <v>1.4</v>
      </c>
      <c r="D49" s="147">
        <f t="shared" ref="D49:J49" si="11">D50</f>
        <v>1.4</v>
      </c>
      <c r="E49" s="147">
        <f t="shared" si="11"/>
        <v>1.4</v>
      </c>
      <c r="F49" s="147">
        <f t="shared" si="11"/>
        <v>1.4</v>
      </c>
      <c r="G49" s="147">
        <f t="shared" si="11"/>
        <v>1.4</v>
      </c>
      <c r="H49" s="147">
        <f t="shared" si="11"/>
        <v>1.4</v>
      </c>
      <c r="I49" s="147">
        <f t="shared" si="11"/>
        <v>1.4</v>
      </c>
      <c r="J49" s="147">
        <f t="shared" si="11"/>
        <v>1.4</v>
      </c>
    </row>
    <row r="50" spans="2:10" x14ac:dyDescent="0.2">
      <c r="B50" t="s">
        <v>66</v>
      </c>
      <c r="C50" s="63">
        <v>1.4</v>
      </c>
      <c r="D50" s="63">
        <v>1.4</v>
      </c>
      <c r="E50" s="63">
        <v>1.4</v>
      </c>
      <c r="F50" s="63">
        <v>1.4</v>
      </c>
      <c r="G50" s="63">
        <v>1.4</v>
      </c>
      <c r="H50" s="63">
        <v>1.4</v>
      </c>
      <c r="I50" s="63">
        <v>1.4</v>
      </c>
      <c r="J50" s="63">
        <v>1.4</v>
      </c>
    </row>
    <row r="51" spans="2:10" x14ac:dyDescent="0.2">
      <c r="B51" t="s">
        <v>67</v>
      </c>
      <c r="C51" s="63">
        <f>C50</f>
        <v>1.4</v>
      </c>
      <c r="D51" s="63">
        <f t="shared" ref="D51:J51" si="12">D50</f>
        <v>1.4</v>
      </c>
      <c r="E51" s="63">
        <f t="shared" si="12"/>
        <v>1.4</v>
      </c>
      <c r="F51" s="63">
        <f t="shared" si="12"/>
        <v>1.4</v>
      </c>
      <c r="G51" s="63">
        <f t="shared" si="12"/>
        <v>1.4</v>
      </c>
      <c r="H51" s="63">
        <f t="shared" si="12"/>
        <v>1.4</v>
      </c>
      <c r="I51" s="63">
        <f t="shared" si="12"/>
        <v>1.4</v>
      </c>
      <c r="J51" s="63">
        <f t="shared" si="12"/>
        <v>1.4</v>
      </c>
    </row>
    <row r="52" spans="2:10" x14ac:dyDescent="0.2">
      <c r="B52" t="s">
        <v>143</v>
      </c>
      <c r="C52" s="54">
        <v>2.5000000000000001E-3</v>
      </c>
      <c r="D52" s="54">
        <v>2.5000000000000001E-3</v>
      </c>
      <c r="E52" s="54">
        <v>2.5000000000000001E-3</v>
      </c>
      <c r="F52" s="54">
        <v>2.5000000000000001E-3</v>
      </c>
      <c r="G52" s="54">
        <v>2.5000000000000001E-3</v>
      </c>
      <c r="H52" s="54">
        <v>2.5000000000000001E-3</v>
      </c>
      <c r="I52" s="54">
        <v>2.5000000000000001E-3</v>
      </c>
      <c r="J52" s="54">
        <v>2.5000000000000001E-3</v>
      </c>
    </row>
    <row r="53" spans="2:10" x14ac:dyDescent="0.2">
      <c r="B53" t="s">
        <v>144</v>
      </c>
      <c r="C53" t="s">
        <v>53</v>
      </c>
      <c r="D53" t="s">
        <v>53</v>
      </c>
      <c r="E53" t="s">
        <v>53</v>
      </c>
      <c r="F53" t="s">
        <v>53</v>
      </c>
      <c r="G53" t="s">
        <v>53</v>
      </c>
      <c r="H53" t="s">
        <v>53</v>
      </c>
      <c r="I53" t="s">
        <v>53</v>
      </c>
      <c r="J53" t="s">
        <v>53</v>
      </c>
    </row>
    <row r="54" spans="2:10" x14ac:dyDescent="0.2">
      <c r="B54" t="s">
        <v>145</v>
      </c>
      <c r="C54" s="54">
        <v>0.1</v>
      </c>
      <c r="D54" s="54">
        <v>0.1</v>
      </c>
      <c r="E54" s="54">
        <v>0.1</v>
      </c>
      <c r="F54" s="54">
        <v>0.1</v>
      </c>
      <c r="G54" s="54">
        <v>0.1</v>
      </c>
      <c r="H54" s="54">
        <v>0.1</v>
      </c>
      <c r="I54" s="54">
        <v>0.1</v>
      </c>
      <c r="J54" s="54">
        <v>0.1</v>
      </c>
    </row>
    <row r="55" spans="2:10" x14ac:dyDescent="0.2">
      <c r="B55" t="s">
        <v>147</v>
      </c>
      <c r="C55" t="s">
        <v>148</v>
      </c>
      <c r="D55" t="s">
        <v>148</v>
      </c>
      <c r="E55" t="s">
        <v>148</v>
      </c>
      <c r="F55" t="s">
        <v>148</v>
      </c>
      <c r="G55" t="s">
        <v>148</v>
      </c>
      <c r="H55" t="s">
        <v>148</v>
      </c>
      <c r="I55" t="s">
        <v>148</v>
      </c>
      <c r="J55" t="s">
        <v>148</v>
      </c>
    </row>
    <row r="56" spans="2:10" x14ac:dyDescent="0.2">
      <c r="B56" t="s">
        <v>138</v>
      </c>
      <c r="C56" s="58">
        <f>Vanilla(C44,C45,C46,C48,C49,C50,C51,C52,C53,C54,$B56,C55)</f>
        <v>0.50273793131348798</v>
      </c>
      <c r="D56" s="58">
        <f t="shared" ref="D56:J56" si="13">Vanilla(D44,D45,D46,D48,D49,D50,D51,D52,D53,D54,$B56,D55)</f>
        <v>0.50471088294160671</v>
      </c>
      <c r="E56" s="58">
        <f t="shared" si="13"/>
        <v>0.50661835753861995</v>
      </c>
      <c r="F56" s="58">
        <f t="shared" si="13"/>
        <v>0.50860432357136587</v>
      </c>
      <c r="G56" s="58">
        <f t="shared" si="13"/>
        <v>0.51156665159459125</v>
      </c>
      <c r="H56" s="58">
        <f t="shared" si="13"/>
        <v>0.51485277810455221</v>
      </c>
      <c r="I56" s="58">
        <f t="shared" si="13"/>
        <v>0.51960716087187575</v>
      </c>
      <c r="J56" s="58">
        <f t="shared" si="13"/>
        <v>0.52616701165655178</v>
      </c>
    </row>
    <row r="57" spans="2:10" x14ac:dyDescent="0.2">
      <c r="B57" t="s">
        <v>149</v>
      </c>
      <c r="C57" s="58">
        <f>Vanilla(C44,C45,C46,C48,C49,C50,C51,C52,C53,C54,$B57,C55)</f>
        <v>0.28805535672446364</v>
      </c>
      <c r="D57" s="58">
        <f t="shared" ref="D57:I57" si="14">Vanilla(D44,D45,D46,D48,D49,D50,D51,D52,D53,D54,$B57,D55)</f>
        <v>0.16628469844406385</v>
      </c>
      <c r="E57" s="58">
        <f t="shared" si="14"/>
        <v>0.11755544100880845</v>
      </c>
      <c r="F57" s="58">
        <f t="shared" si="14"/>
        <v>8.9756533347979242E-2</v>
      </c>
      <c r="G57" s="58">
        <f t="shared" si="14"/>
        <v>6.599817572848464E-2</v>
      </c>
      <c r="H57" s="58">
        <f t="shared" si="14"/>
        <v>5.0693530553506061E-2</v>
      </c>
      <c r="I57" s="58">
        <f t="shared" si="14"/>
        <v>3.757427664692433E-2</v>
      </c>
      <c r="J57" s="58">
        <f t="shared" ref="J57" si="15">Vanilla(J44,J45,J46,J48,J49,J50,J51,J52,J53,J54,$B57,J55)</f>
        <v>2.7194597079873248E-2</v>
      </c>
    </row>
    <row r="58" spans="2:10" x14ac:dyDescent="0.2">
      <c r="B58" t="s">
        <v>137</v>
      </c>
      <c r="C58" s="146">
        <f>Vanilla(C44,C45,C46,C48,C49,C50,C51,C52,C53,C54,$B58,C55)</f>
        <v>7.7342599252263541E-3</v>
      </c>
      <c r="D58" s="146">
        <f t="shared" ref="D58:I58" si="16">Vanilla(D44,D45,D46,D48,D49,D50,D51,D52,D53,D54,$B58,D55)</f>
        <v>1.3394609133201214E-2</v>
      </c>
      <c r="E58" s="146">
        <f t="shared" si="16"/>
        <v>1.893961537897346E-2</v>
      </c>
      <c r="F58" s="146">
        <f t="shared" si="16"/>
        <v>2.4791756174737011E-2</v>
      </c>
      <c r="G58" s="146">
        <f t="shared" si="16"/>
        <v>3.3678486841965567E-2</v>
      </c>
      <c r="H58" s="146">
        <f t="shared" si="16"/>
        <v>4.3771866056240713E-2</v>
      </c>
      <c r="I58" s="146">
        <f t="shared" si="16"/>
        <v>5.8856166878725864E-2</v>
      </c>
      <c r="J58" s="146">
        <f>Vanilla(J44,J45,J46,J48,J49,J50,J51,J52,J53,J54,$B58,J55)</f>
        <v>8.0772763160601516E-2</v>
      </c>
    </row>
    <row r="59" spans="2:10" x14ac:dyDescent="0.2">
      <c r="C59" s="146">
        <f>0.4*C54*C50*SQRT(C47/365)</f>
        <v>7.7551573648395209E-3</v>
      </c>
      <c r="D59" s="146">
        <f t="shared" ref="D59:J59" si="17">0.4*D54*D50*SQRT(D47/365)</f>
        <v>1.0967448723693644E-2</v>
      </c>
      <c r="E59" s="146">
        <f t="shared" si="17"/>
        <v>1.343232657659402E-2</v>
      </c>
      <c r="F59" s="146">
        <f t="shared" si="17"/>
        <v>1.6054701014267887E-2</v>
      </c>
      <c r="G59" s="146">
        <f t="shared" si="17"/>
        <v>2.289320052192324E-2</v>
      </c>
      <c r="H59" s="146">
        <f t="shared" si="17"/>
        <v>2.8114833017758415E-2</v>
      </c>
      <c r="I59" s="146">
        <f t="shared" si="17"/>
        <v>3.9652186451833389E-2</v>
      </c>
      <c r="J59" s="146">
        <f t="shared" si="17"/>
        <v>5.6000000000000008E-2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"/>
  <dimension ref="B2:E39"/>
  <sheetViews>
    <sheetView workbookViewId="0">
      <selection activeCell="AA12" sqref="AA12"/>
    </sheetView>
  </sheetViews>
  <sheetFormatPr defaultRowHeight="12.75" x14ac:dyDescent="0.2"/>
  <sheetData>
    <row r="2" spans="2:5" x14ac:dyDescent="0.2">
      <c r="C2" t="s">
        <v>150</v>
      </c>
    </row>
    <row r="4" spans="2:5" x14ac:dyDescent="0.2">
      <c r="C4" t="s">
        <v>151</v>
      </c>
    </row>
    <row r="6" spans="2:5" x14ac:dyDescent="0.2">
      <c r="C6" t="s">
        <v>152</v>
      </c>
    </row>
    <row r="7" spans="2:5" x14ac:dyDescent="0.2">
      <c r="C7" t="s">
        <v>153</v>
      </c>
    </row>
    <row r="9" spans="2:5" x14ac:dyDescent="0.2">
      <c r="C9" t="s">
        <v>154</v>
      </c>
    </row>
    <row r="13" spans="2:5" x14ac:dyDescent="0.2">
      <c r="B13" t="s">
        <v>156</v>
      </c>
      <c r="C13" t="s">
        <v>155</v>
      </c>
      <c r="D13" t="s">
        <v>131</v>
      </c>
      <c r="E13" t="s">
        <v>157</v>
      </c>
    </row>
    <row r="14" spans="2:5" x14ac:dyDescent="0.2">
      <c r="B14" s="55">
        <v>0.5</v>
      </c>
      <c r="C14" s="55">
        <v>0.1</v>
      </c>
      <c r="D14">
        <v>1</v>
      </c>
      <c r="E14" s="57">
        <f>Vanilla("EURUSD","C",0,365*D14,C14*100,100,100,0,"USD",B14,"volga","RHS")*10000</f>
        <v>1.2835351340768308E-2</v>
      </c>
    </row>
    <row r="15" spans="2:5" x14ac:dyDescent="0.2">
      <c r="B15" s="55">
        <v>0.5</v>
      </c>
      <c r="C15" s="55">
        <f>C14+0.1</f>
        <v>0.2</v>
      </c>
      <c r="D15">
        <v>1</v>
      </c>
      <c r="E15" s="57">
        <f t="shared" ref="E15:E26" si="0">Vanilla("EURUSD","C",0,365*D15,C15*100,100,100,0,"USD",B15,"volga","RHS")*10000</f>
        <v>2.0033945801634316</v>
      </c>
    </row>
    <row r="16" spans="2:5" x14ac:dyDescent="0.2">
      <c r="B16" s="55">
        <v>0.5</v>
      </c>
      <c r="C16" s="55">
        <f t="shared" ref="C16:C39" si="1">C15+0.1</f>
        <v>0.30000000000000004</v>
      </c>
      <c r="D16">
        <v>1</v>
      </c>
      <c r="E16" s="57">
        <f t="shared" si="0"/>
        <v>13.379873000171923</v>
      </c>
    </row>
    <row r="17" spans="2:5" x14ac:dyDescent="0.2">
      <c r="B17" s="55">
        <v>0.5</v>
      </c>
      <c r="C17" s="55">
        <f t="shared" si="1"/>
        <v>0.4</v>
      </c>
      <c r="D17">
        <v>1</v>
      </c>
      <c r="E17" s="57">
        <f t="shared" si="0"/>
        <v>30.068304818530425</v>
      </c>
    </row>
    <row r="18" spans="2:5" x14ac:dyDescent="0.2">
      <c r="B18" s="55">
        <v>0.5</v>
      </c>
      <c r="C18" s="55">
        <f t="shared" si="1"/>
        <v>0.5</v>
      </c>
      <c r="D18">
        <v>1</v>
      </c>
      <c r="E18" s="57">
        <f t="shared" si="0"/>
        <v>38.894613554262271</v>
      </c>
    </row>
    <row r="19" spans="2:5" x14ac:dyDescent="0.2">
      <c r="B19" s="55">
        <v>0.5</v>
      </c>
      <c r="C19" s="55">
        <f t="shared" si="1"/>
        <v>0.6</v>
      </c>
      <c r="D19">
        <v>1</v>
      </c>
      <c r="E19" s="57">
        <f t="shared" si="0"/>
        <v>34.880364656760669</v>
      </c>
    </row>
    <row r="20" spans="2:5" x14ac:dyDescent="0.2">
      <c r="B20" s="55">
        <v>0.5</v>
      </c>
      <c r="C20" s="55">
        <f t="shared" si="1"/>
        <v>0.7</v>
      </c>
      <c r="D20">
        <v>1</v>
      </c>
      <c r="E20" s="57">
        <f t="shared" si="0"/>
        <v>22.392944131964953</v>
      </c>
    </row>
    <row r="21" spans="2:5" x14ac:dyDescent="0.2">
      <c r="B21" s="55">
        <v>0.5</v>
      </c>
      <c r="C21" s="55">
        <f t="shared" si="1"/>
        <v>0.79999999999999993</v>
      </c>
      <c r="D21">
        <v>1</v>
      </c>
      <c r="E21" s="57">
        <f t="shared" si="0"/>
        <v>8.5574383446382836</v>
      </c>
    </row>
    <row r="22" spans="2:5" x14ac:dyDescent="0.2">
      <c r="B22" s="55">
        <v>0.5</v>
      </c>
      <c r="C22" s="55">
        <f t="shared" si="1"/>
        <v>0.89999999999999991</v>
      </c>
      <c r="D22">
        <v>1</v>
      </c>
      <c r="E22" s="57">
        <f t="shared" si="0"/>
        <v>-1.2985110869575829</v>
      </c>
    </row>
    <row r="23" spans="2:5" x14ac:dyDescent="0.2">
      <c r="B23" s="55">
        <v>0.5</v>
      </c>
      <c r="C23" s="55">
        <f t="shared" si="1"/>
        <v>0.99999999999999989</v>
      </c>
      <c r="D23">
        <v>1</v>
      </c>
      <c r="E23" s="57">
        <f t="shared" si="0"/>
        <v>-4.833351460035618</v>
      </c>
    </row>
    <row r="24" spans="2:5" x14ac:dyDescent="0.2">
      <c r="B24" s="55">
        <v>0.5</v>
      </c>
      <c r="C24" s="55">
        <f t="shared" si="1"/>
        <v>1.0999999999999999</v>
      </c>
      <c r="D24">
        <v>1</v>
      </c>
      <c r="E24" s="57">
        <f t="shared" si="0"/>
        <v>-2.083898378361047</v>
      </c>
    </row>
    <row r="25" spans="2:5" x14ac:dyDescent="0.2">
      <c r="B25" s="55">
        <v>0.5</v>
      </c>
      <c r="C25" s="55">
        <f t="shared" si="1"/>
        <v>1.2</v>
      </c>
      <c r="D25">
        <v>1</v>
      </c>
      <c r="E25" s="57">
        <f t="shared" si="0"/>
        <v>5.5854359833338307</v>
      </c>
    </row>
    <row r="26" spans="2:5" x14ac:dyDescent="0.2">
      <c r="B26" s="55">
        <v>0.5</v>
      </c>
      <c r="C26" s="55">
        <f t="shared" si="1"/>
        <v>1.3</v>
      </c>
      <c r="D26">
        <v>1</v>
      </c>
      <c r="E26" s="57">
        <f t="shared" si="0"/>
        <v>16.353247776876117</v>
      </c>
    </row>
    <row r="27" spans="2:5" x14ac:dyDescent="0.2">
      <c r="B27" s="57">
        <v>0.2</v>
      </c>
      <c r="C27" s="57">
        <v>0.1</v>
      </c>
      <c r="D27" s="57">
        <v>1</v>
      </c>
      <c r="E27" s="57">
        <f>Vanilla("EURUSD","C",0,365*D27,C27*100,100,100,0,"USD",B27,"volga","RHS")*10000</f>
        <v>1.3731992417596556E-25</v>
      </c>
    </row>
    <row r="28" spans="2:5" x14ac:dyDescent="0.2">
      <c r="B28" s="57">
        <v>0.2</v>
      </c>
      <c r="C28" s="57">
        <f t="shared" si="1"/>
        <v>0.2</v>
      </c>
      <c r="D28" s="57">
        <v>1</v>
      </c>
      <c r="E28" s="57">
        <f t="shared" ref="E28:E39" si="2">Vanilla("EURUSD","C",0,365*D28,C28*100,100,100,0,"USD",B28,"volga","RHS")*10000</f>
        <v>4.9840762879531413E-11</v>
      </c>
    </row>
    <row r="29" spans="2:5" x14ac:dyDescent="0.2">
      <c r="B29" s="57">
        <v>0.2</v>
      </c>
      <c r="C29" s="57">
        <f t="shared" si="1"/>
        <v>0.30000000000000004</v>
      </c>
      <c r="D29" s="57">
        <v>1</v>
      </c>
      <c r="E29" s="57">
        <f t="shared" si="2"/>
        <v>5.3232316155859299E-5</v>
      </c>
    </row>
    <row r="30" spans="2:5" x14ac:dyDescent="0.2">
      <c r="B30" s="57">
        <v>0.2</v>
      </c>
      <c r="C30" s="57">
        <f t="shared" si="1"/>
        <v>0.4</v>
      </c>
      <c r="D30" s="57">
        <v>1</v>
      </c>
      <c r="E30" s="57">
        <f t="shared" si="2"/>
        <v>7.2891847813909713E-2</v>
      </c>
    </row>
    <row r="31" spans="2:5" x14ac:dyDescent="0.2">
      <c r="B31" s="57">
        <v>0.2</v>
      </c>
      <c r="C31" s="57">
        <f t="shared" si="1"/>
        <v>0.5</v>
      </c>
      <c r="D31" s="57">
        <v>1</v>
      </c>
      <c r="E31" s="57">
        <f t="shared" si="2"/>
        <v>4.1514197754967013</v>
      </c>
    </row>
    <row r="32" spans="2:5" x14ac:dyDescent="0.2">
      <c r="B32" s="57">
        <v>0.2</v>
      </c>
      <c r="C32" s="57">
        <f t="shared" si="1"/>
        <v>0.6</v>
      </c>
      <c r="D32" s="57">
        <v>1</v>
      </c>
      <c r="E32" s="57">
        <f t="shared" si="2"/>
        <v>38.373199695348916</v>
      </c>
    </row>
    <row r="33" spans="2:5" x14ac:dyDescent="0.2">
      <c r="B33" s="57">
        <v>0.2</v>
      </c>
      <c r="C33" s="57">
        <f t="shared" si="1"/>
        <v>0.7</v>
      </c>
      <c r="D33" s="57">
        <v>1</v>
      </c>
      <c r="E33" s="57">
        <f t="shared" si="2"/>
        <v>107.33826139151687</v>
      </c>
    </row>
    <row r="34" spans="2:5" x14ac:dyDescent="0.2">
      <c r="B34" s="57">
        <v>0.2</v>
      </c>
      <c r="C34" s="57">
        <f t="shared" si="1"/>
        <v>0.79999999999999993</v>
      </c>
      <c r="D34" s="57">
        <v>1</v>
      </c>
      <c r="E34" s="57">
        <f t="shared" si="2"/>
        <v>117.63832718790609</v>
      </c>
    </row>
    <row r="35" spans="2:5" x14ac:dyDescent="0.2">
      <c r="B35" s="57">
        <v>0.2</v>
      </c>
      <c r="C35" s="57">
        <f t="shared" si="1"/>
        <v>0.89999999999999991</v>
      </c>
      <c r="D35" s="57">
        <v>1</v>
      </c>
      <c r="E35" s="57">
        <f t="shared" si="2"/>
        <v>43.845472135281895</v>
      </c>
    </row>
    <row r="36" spans="2:5" x14ac:dyDescent="0.2">
      <c r="B36" s="57">
        <v>0.2</v>
      </c>
      <c r="C36" s="57">
        <f t="shared" si="1"/>
        <v>0.99999999999999989</v>
      </c>
      <c r="D36" s="57">
        <v>1</v>
      </c>
      <c r="E36" s="57">
        <f t="shared" si="2"/>
        <v>-1.9847627373850605</v>
      </c>
    </row>
    <row r="37" spans="2:5" x14ac:dyDescent="0.2">
      <c r="B37" s="57">
        <v>0.2</v>
      </c>
      <c r="C37" s="57">
        <f t="shared" si="1"/>
        <v>1.0999999999999999</v>
      </c>
      <c r="D37" s="57">
        <v>1</v>
      </c>
      <c r="E37" s="57">
        <f t="shared" si="2"/>
        <v>40.341494162603247</v>
      </c>
    </row>
    <row r="38" spans="2:5" x14ac:dyDescent="0.2">
      <c r="B38" s="57">
        <v>0.2</v>
      </c>
      <c r="C38" s="57">
        <f t="shared" si="1"/>
        <v>1.2</v>
      </c>
      <c r="D38" s="57">
        <v>1</v>
      </c>
      <c r="E38" s="57">
        <f t="shared" si="2"/>
        <v>117.81537941839809</v>
      </c>
    </row>
    <row r="39" spans="2:5" x14ac:dyDescent="0.2">
      <c r="B39" s="57">
        <v>0.2</v>
      </c>
      <c r="C39" s="57">
        <f t="shared" si="1"/>
        <v>1.3</v>
      </c>
      <c r="D39" s="57">
        <v>1</v>
      </c>
      <c r="E39" s="57">
        <f t="shared" si="2"/>
        <v>163.76281784318496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"/>
  <dimension ref="A10:Y146"/>
  <sheetViews>
    <sheetView zoomScaleNormal="100" workbookViewId="0"/>
  </sheetViews>
  <sheetFormatPr defaultRowHeight="12.75" x14ac:dyDescent="0.2"/>
  <cols>
    <col min="1" max="1" width="12.7109375" bestFit="1" customWidth="1"/>
    <col min="2" max="2" width="13.140625" bestFit="1" customWidth="1"/>
    <col min="3" max="3" width="12.42578125" customWidth="1"/>
    <col min="4" max="5" width="12.7109375" bestFit="1" customWidth="1"/>
    <col min="6" max="6" width="19.7109375" customWidth="1"/>
    <col min="7" max="7" width="10.140625" bestFit="1" customWidth="1"/>
    <col min="8" max="8" width="13.42578125" bestFit="1" customWidth="1"/>
    <col min="9" max="9" width="10.140625" bestFit="1" customWidth="1"/>
    <col min="10" max="10" width="13.5703125" customWidth="1"/>
    <col min="11" max="11" width="12" bestFit="1" customWidth="1"/>
    <col min="12" max="12" width="13.42578125" bestFit="1" customWidth="1"/>
    <col min="13" max="13" width="10.140625" bestFit="1" customWidth="1"/>
    <col min="14" max="14" width="12" bestFit="1" customWidth="1"/>
    <col min="15" max="15" width="10.140625" bestFit="1" customWidth="1"/>
    <col min="16" max="16" width="10.7109375" bestFit="1" customWidth="1"/>
    <col min="19" max="19" width="19.140625" bestFit="1" customWidth="1"/>
    <col min="20" max="20" width="12" bestFit="1" customWidth="1"/>
    <col min="21" max="21" width="10.7109375" bestFit="1" customWidth="1"/>
    <col min="23" max="23" width="15.28515625" bestFit="1" customWidth="1"/>
    <col min="24" max="24" width="12" bestFit="1" customWidth="1"/>
    <col min="25" max="25" width="10.140625" bestFit="1" customWidth="1"/>
  </cols>
  <sheetData>
    <row r="10" spans="3:11" x14ac:dyDescent="0.2">
      <c r="C10" t="s">
        <v>66</v>
      </c>
      <c r="D10" s="56">
        <v>100</v>
      </c>
      <c r="H10" s="59" t="e">
        <f>F11-G11</f>
        <v>#VALUE!</v>
      </c>
    </row>
    <row r="11" spans="3:11" x14ac:dyDescent="0.2">
      <c r="C11" t="s">
        <v>125</v>
      </c>
      <c r="D11">
        <v>0.3</v>
      </c>
      <c r="F11" s="60" t="s">
        <v>133</v>
      </c>
      <c r="G11" s="58">
        <v>0.15674344500000001</v>
      </c>
      <c r="H11" s="59" t="e">
        <f>F11/G11-1</f>
        <v>#VALUE!</v>
      </c>
      <c r="J11" t="s">
        <v>136</v>
      </c>
    </row>
    <row r="12" spans="3:11" x14ac:dyDescent="0.2">
      <c r="C12" t="s">
        <v>126</v>
      </c>
      <c r="D12" s="54">
        <v>4.4999999999999998E-2</v>
      </c>
      <c r="F12">
        <f>EXP(D12)</f>
        <v>1.0460278599087169</v>
      </c>
      <c r="I12" t="s">
        <v>60</v>
      </c>
      <c r="J12" t="s">
        <v>134</v>
      </c>
      <c r="K12" t="s">
        <v>134</v>
      </c>
    </row>
    <row r="13" spans="3:11" x14ac:dyDescent="0.2">
      <c r="C13" t="s">
        <v>127</v>
      </c>
      <c r="D13" s="55">
        <v>-0.1</v>
      </c>
      <c r="I13" t="s">
        <v>61</v>
      </c>
      <c r="J13" t="s">
        <v>53</v>
      </c>
      <c r="K13" t="s">
        <v>53</v>
      </c>
    </row>
    <row r="14" spans="3:11" x14ac:dyDescent="0.2">
      <c r="C14" t="s">
        <v>128</v>
      </c>
      <c r="D14" s="57">
        <v>2.5</v>
      </c>
      <c r="I14" t="s">
        <v>179</v>
      </c>
      <c r="J14" t="s">
        <v>178</v>
      </c>
      <c r="K14" t="s">
        <v>135</v>
      </c>
    </row>
    <row r="15" spans="3:11" x14ac:dyDescent="0.2">
      <c r="C15" t="s">
        <v>132</v>
      </c>
      <c r="D15" s="55">
        <v>0.06</v>
      </c>
      <c r="I15" t="s">
        <v>63</v>
      </c>
      <c r="J15">
        <v>0</v>
      </c>
      <c r="K15">
        <v>0</v>
      </c>
    </row>
    <row r="16" spans="3:11" x14ac:dyDescent="0.2">
      <c r="C16" t="s">
        <v>129</v>
      </c>
      <c r="D16" s="55">
        <v>0.5</v>
      </c>
      <c r="I16" t="s">
        <v>131</v>
      </c>
      <c r="J16">
        <v>365</v>
      </c>
      <c r="K16">
        <v>0.25</v>
      </c>
    </row>
    <row r="17" spans="3:14" x14ac:dyDescent="0.2">
      <c r="C17" t="s">
        <v>131</v>
      </c>
      <c r="D17" s="56">
        <v>2</v>
      </c>
      <c r="I17" t="s">
        <v>102</v>
      </c>
      <c r="J17">
        <v>120</v>
      </c>
      <c r="K17">
        <v>100</v>
      </c>
    </row>
    <row r="18" spans="3:14" x14ac:dyDescent="0.2">
      <c r="C18" t="s">
        <v>102</v>
      </c>
      <c r="D18" s="56">
        <v>1</v>
      </c>
      <c r="I18" t="s">
        <v>180</v>
      </c>
      <c r="J18">
        <v>100</v>
      </c>
      <c r="K18">
        <v>100</v>
      </c>
    </row>
    <row r="19" spans="3:14" x14ac:dyDescent="0.2">
      <c r="C19" t="s">
        <v>130</v>
      </c>
      <c r="D19" s="56">
        <v>102</v>
      </c>
      <c r="G19">
        <v>1053</v>
      </c>
      <c r="I19" t="s">
        <v>181</v>
      </c>
      <c r="J19">
        <f>J18*(1+J20)</f>
        <v>110.51709180756477</v>
      </c>
      <c r="K19">
        <v>100</v>
      </c>
      <c r="N19" t="e">
        <f>Vanilla()</f>
        <v>#VALUE!</v>
      </c>
    </row>
    <row r="20" spans="3:14" x14ac:dyDescent="0.2">
      <c r="G20">
        <v>660</v>
      </c>
      <c r="I20" t="s">
        <v>182</v>
      </c>
      <c r="J20">
        <f>(EXP(0.1)-1)</f>
        <v>0.10517091807564771</v>
      </c>
      <c r="K20">
        <v>0</v>
      </c>
    </row>
    <row r="21" spans="3:14" x14ac:dyDescent="0.2">
      <c r="G21">
        <f>G19-G20</f>
        <v>393</v>
      </c>
      <c r="I21" t="s">
        <v>183</v>
      </c>
      <c r="J21" t="s">
        <v>53</v>
      </c>
      <c r="K21" t="s">
        <v>53</v>
      </c>
    </row>
    <row r="22" spans="3:14" x14ac:dyDescent="0.2">
      <c r="G22">
        <f>3.8*214</f>
        <v>813.19999999999993</v>
      </c>
      <c r="I22" t="s">
        <v>145</v>
      </c>
      <c r="J22" s="55">
        <v>0.4</v>
      </c>
      <c r="K22" s="55">
        <v>0.27</v>
      </c>
    </row>
    <row r="23" spans="3:14" x14ac:dyDescent="0.2">
      <c r="I23" t="s">
        <v>184</v>
      </c>
      <c r="J23" t="s">
        <v>137</v>
      </c>
      <c r="K23" t="s">
        <v>138</v>
      </c>
    </row>
    <row r="24" spans="3:14" x14ac:dyDescent="0.2">
      <c r="I24" t="s">
        <v>185</v>
      </c>
      <c r="J24" t="s">
        <v>82</v>
      </c>
      <c r="K24" t="s">
        <v>81</v>
      </c>
    </row>
    <row r="25" spans="3:14" x14ac:dyDescent="0.2">
      <c r="J25">
        <f>Digital(J12,J13,J14,J15,J16,J17,J18,J19,J20,J21,J22,J23,J24)</f>
        <v>0.59432110012412043</v>
      </c>
      <c r="K25">
        <f>Digital(K12,K13,K14,K15,K16,K17,K18,K19,K20,K21,K22,K23,K24)</f>
        <v>0.5595869836219497</v>
      </c>
    </row>
    <row r="26" spans="3:14" x14ac:dyDescent="0.2">
      <c r="J26" t="s">
        <v>136</v>
      </c>
    </row>
    <row r="31" spans="3:14" x14ac:dyDescent="0.2">
      <c r="C31" t="s">
        <v>139</v>
      </c>
    </row>
    <row r="32" spans="3:14" x14ac:dyDescent="0.2">
      <c r="C32" t="s">
        <v>140</v>
      </c>
    </row>
    <row r="33" spans="1:20" x14ac:dyDescent="0.2">
      <c r="B33" t="s">
        <v>141</v>
      </c>
      <c r="C33" t="s">
        <v>94</v>
      </c>
      <c r="D33" t="s">
        <v>94</v>
      </c>
      <c r="E33" t="s">
        <v>94</v>
      </c>
      <c r="F33" t="s">
        <v>94</v>
      </c>
      <c r="H33" t="s">
        <v>141</v>
      </c>
      <c r="I33" t="s">
        <v>95</v>
      </c>
      <c r="J33" t="s">
        <v>95</v>
      </c>
      <c r="K33" t="s">
        <v>95</v>
      </c>
      <c r="L33" t="s">
        <v>95</v>
      </c>
    </row>
    <row r="34" spans="1:20" x14ac:dyDescent="0.2">
      <c r="B34" t="s">
        <v>142</v>
      </c>
      <c r="C34" t="s">
        <v>135</v>
      </c>
      <c r="D34" t="s">
        <v>135</v>
      </c>
      <c r="E34" t="s">
        <v>135</v>
      </c>
      <c r="F34" t="s">
        <v>135</v>
      </c>
      <c r="H34" t="s">
        <v>142</v>
      </c>
      <c r="I34" t="s">
        <v>135</v>
      </c>
      <c r="J34" t="s">
        <v>135</v>
      </c>
      <c r="K34" t="s">
        <v>135</v>
      </c>
      <c r="L34" t="s">
        <v>135</v>
      </c>
      <c r="T34" t="s">
        <v>163</v>
      </c>
    </row>
    <row r="35" spans="1:20" x14ac:dyDescent="0.2">
      <c r="B35" t="s">
        <v>63</v>
      </c>
      <c r="C35" s="61">
        <v>40246</v>
      </c>
      <c r="D35" s="61">
        <v>40246</v>
      </c>
      <c r="E35" s="61">
        <v>40246</v>
      </c>
      <c r="F35" s="61">
        <v>40246</v>
      </c>
      <c r="H35" t="s">
        <v>63</v>
      </c>
      <c r="I35" s="61">
        <v>40246</v>
      </c>
      <c r="J35" s="61">
        <v>40246</v>
      </c>
      <c r="K35" s="61">
        <v>40246</v>
      </c>
      <c r="L35" s="61">
        <v>40246</v>
      </c>
      <c r="R35" t="s">
        <v>160</v>
      </c>
      <c r="S35">
        <v>0.5</v>
      </c>
      <c r="T35">
        <f>NORMSDIST(S35)</f>
        <v>0.69146246127401312</v>
      </c>
    </row>
    <row r="36" spans="1:20" x14ac:dyDescent="0.2">
      <c r="B36" t="s">
        <v>64</v>
      </c>
      <c r="C36" s="61">
        <f>C35+61+31</f>
        <v>40338</v>
      </c>
      <c r="D36" s="61">
        <f>D35+61+31</f>
        <v>40338</v>
      </c>
      <c r="E36" s="61">
        <f>E35+61+31</f>
        <v>40338</v>
      </c>
      <c r="F36" s="61">
        <f>F35+61+31</f>
        <v>40338</v>
      </c>
      <c r="H36" t="s">
        <v>64</v>
      </c>
      <c r="I36" s="61">
        <f>I35+61+31</f>
        <v>40338</v>
      </c>
      <c r="J36" s="61">
        <f>J35+61+31</f>
        <v>40338</v>
      </c>
      <c r="K36" s="61">
        <f>K35+61+31</f>
        <v>40338</v>
      </c>
      <c r="L36" s="61">
        <f>L35+61+31</f>
        <v>40338</v>
      </c>
      <c r="R36" s="64" t="s">
        <v>161</v>
      </c>
      <c r="S36">
        <f>-S35</f>
        <v>-0.5</v>
      </c>
      <c r="T36">
        <f>NORMSDIST(S36)</f>
        <v>0.30853753872598688</v>
      </c>
    </row>
    <row r="37" spans="1:20" x14ac:dyDescent="0.2">
      <c r="B37" t="s">
        <v>65</v>
      </c>
      <c r="C37" s="62">
        <v>1.25</v>
      </c>
      <c r="D37" s="62">
        <v>1.25</v>
      </c>
      <c r="E37" s="62">
        <v>1.25</v>
      </c>
      <c r="F37" s="62">
        <v>1.25</v>
      </c>
      <c r="H37" t="s">
        <v>65</v>
      </c>
      <c r="I37" s="62">
        <v>100</v>
      </c>
      <c r="J37" s="62">
        <v>100</v>
      </c>
      <c r="K37" s="62">
        <v>100</v>
      </c>
      <c r="L37" s="62">
        <v>100</v>
      </c>
      <c r="R37" t="s">
        <v>162</v>
      </c>
      <c r="S37">
        <f>NORMSDIST(S35)-NORMSDIST(S36)</f>
        <v>0.38292492254802624</v>
      </c>
      <c r="T37">
        <f>T35-T36</f>
        <v>0.38292492254802624</v>
      </c>
    </row>
    <row r="38" spans="1:20" x14ac:dyDescent="0.2">
      <c r="B38" t="s">
        <v>66</v>
      </c>
      <c r="C38" s="62">
        <v>1.25</v>
      </c>
      <c r="D38" s="62">
        <v>1.25</v>
      </c>
      <c r="E38" s="62">
        <v>1.25</v>
      </c>
      <c r="F38" s="62">
        <v>1.25</v>
      </c>
      <c r="H38" t="s">
        <v>66</v>
      </c>
      <c r="I38" s="62">
        <v>100</v>
      </c>
      <c r="J38" s="62">
        <v>100</v>
      </c>
      <c r="K38" s="62">
        <v>100</v>
      </c>
      <c r="L38" s="62">
        <v>100</v>
      </c>
      <c r="T38">
        <f>2*T35-1</f>
        <v>0.38292492254802624</v>
      </c>
    </row>
    <row r="39" spans="1:20" x14ac:dyDescent="0.2">
      <c r="A39">
        <f>C38*(1+C40)</f>
        <v>1.25</v>
      </c>
      <c r="B39" t="s">
        <v>67</v>
      </c>
      <c r="C39" s="62">
        <v>1.25</v>
      </c>
      <c r="D39" s="62">
        <v>1.25</v>
      </c>
      <c r="E39" s="62">
        <v>1.25</v>
      </c>
      <c r="F39" s="62">
        <v>1.25</v>
      </c>
      <c r="H39" t="s">
        <v>67</v>
      </c>
      <c r="I39" s="62">
        <v>100</v>
      </c>
      <c r="J39" s="62">
        <v>100</v>
      </c>
      <c r="K39" s="62">
        <v>100</v>
      </c>
      <c r="L39" s="62">
        <v>100</v>
      </c>
    </row>
    <row r="40" spans="1:20" x14ac:dyDescent="0.2">
      <c r="A40">
        <v>0</v>
      </c>
      <c r="B40" t="s">
        <v>143</v>
      </c>
      <c r="C40">
        <f>EXP($A$40)-1</f>
        <v>0</v>
      </c>
      <c r="D40">
        <f>EXP($A$40)-1</f>
        <v>0</v>
      </c>
      <c r="E40">
        <f>EXP($A$40)-1</f>
        <v>0</v>
      </c>
      <c r="F40">
        <f>EXP($A$40)-1</f>
        <v>0</v>
      </c>
      <c r="H40" t="s">
        <v>143</v>
      </c>
      <c r="I40">
        <f>EXP($A$40)-1</f>
        <v>0</v>
      </c>
      <c r="J40">
        <f>EXP($A$40)-1</f>
        <v>0</v>
      </c>
      <c r="K40">
        <f>EXP($A$40)-1</f>
        <v>0</v>
      </c>
      <c r="L40">
        <f>EXP($A$40)-1</f>
        <v>0</v>
      </c>
      <c r="R40" t="s">
        <v>164</v>
      </c>
      <c r="S40">
        <f>I42*SQRT((I36-I35)/365)/2</f>
        <v>3.7653794220212158E-2</v>
      </c>
      <c r="T40">
        <f>EXP(-S40*S40/2)/SQRT(2*PI())</f>
        <v>0.39865956879891534</v>
      </c>
    </row>
    <row r="41" spans="1:20" x14ac:dyDescent="0.2">
      <c r="B41" t="s">
        <v>144</v>
      </c>
      <c r="C41" t="s">
        <v>53</v>
      </c>
      <c r="D41" t="s">
        <v>53</v>
      </c>
      <c r="E41" t="s">
        <v>53</v>
      </c>
      <c r="F41" t="s">
        <v>53</v>
      </c>
      <c r="H41" t="s">
        <v>144</v>
      </c>
      <c r="I41" t="s">
        <v>53</v>
      </c>
      <c r="J41" t="s">
        <v>53</v>
      </c>
      <c r="K41" t="s">
        <v>53</v>
      </c>
      <c r="L41" t="s">
        <v>53</v>
      </c>
      <c r="S41">
        <f>_xlfn.NORM.DIST(S40,0,1,FALSE)</f>
        <v>0.39865956879891534</v>
      </c>
    </row>
    <row r="42" spans="1:20" x14ac:dyDescent="0.2">
      <c r="B42" t="s">
        <v>145</v>
      </c>
      <c r="C42">
        <v>0.1</v>
      </c>
      <c r="D42">
        <v>0.1</v>
      </c>
      <c r="E42">
        <v>0.1</v>
      </c>
      <c r="F42">
        <v>0.1</v>
      </c>
      <c r="H42" t="s">
        <v>145</v>
      </c>
      <c r="I42">
        <v>0.15</v>
      </c>
      <c r="J42">
        <v>0.15</v>
      </c>
      <c r="K42">
        <v>0.15</v>
      </c>
      <c r="L42">
        <v>0.15</v>
      </c>
      <c r="S42">
        <f>2*NORMSDIST(S40)-1</f>
        <v>3.0036283281415166E-2</v>
      </c>
    </row>
    <row r="43" spans="1:20" x14ac:dyDescent="0.2">
      <c r="B43" t="s">
        <v>146</v>
      </c>
      <c r="C43" t="s">
        <v>137</v>
      </c>
      <c r="D43" t="s">
        <v>138</v>
      </c>
      <c r="E43" t="s">
        <v>149</v>
      </c>
      <c r="F43" t="s">
        <v>158</v>
      </c>
      <c r="H43" t="s">
        <v>146</v>
      </c>
      <c r="I43" t="s">
        <v>137</v>
      </c>
      <c r="J43" t="s">
        <v>138</v>
      </c>
      <c r="K43" t="s">
        <v>149</v>
      </c>
      <c r="L43" t="s">
        <v>158</v>
      </c>
      <c r="S43">
        <f>S41*SQRT((I36-I35)/365)/100/S42</f>
        <v>6.6635165773038671E-2</v>
      </c>
    </row>
    <row r="44" spans="1:20" x14ac:dyDescent="0.2">
      <c r="B44" t="s">
        <v>147</v>
      </c>
      <c r="C44" t="s">
        <v>148</v>
      </c>
      <c r="D44" t="s">
        <v>148</v>
      </c>
      <c r="E44" t="s">
        <v>148</v>
      </c>
      <c r="F44" t="s">
        <v>148</v>
      </c>
      <c r="H44" t="s">
        <v>147</v>
      </c>
      <c r="I44" t="s">
        <v>159</v>
      </c>
      <c r="J44" t="s">
        <v>159</v>
      </c>
      <c r="K44" t="s">
        <v>159</v>
      </c>
      <c r="L44" t="s">
        <v>159</v>
      </c>
      <c r="S44">
        <f>1/S43</f>
        <v>15.00709105168327</v>
      </c>
    </row>
    <row r="45" spans="1:20" x14ac:dyDescent="0.2">
      <c r="B45" t="s">
        <v>137</v>
      </c>
      <c r="C45" s="57">
        <f>Vanilla(C33,C34,C35,C36,C37,C38,C39,C40,C41,C42,C43,C44)</f>
        <v>2.5033641786075922E-2</v>
      </c>
      <c r="D45" s="57">
        <f>Vanilla(D33,D34,D35,D36,D37,D38,D39,D40,D41,D42,D43,D44)</f>
        <v>0.51001345671443032</v>
      </c>
      <c r="E45" s="57">
        <f>Vanilla(E33,E34,E35,E36,E37,E38,E39,E40,E41,E42,E43,E44)</f>
        <v>7.943753365031371E-2</v>
      </c>
      <c r="F45" s="63">
        <f>Vanilla(F33,F34,F35,F36,F37,F38,F39,F40,F41,F42,F43,F44)</f>
        <v>2.5028264026811181E-3</v>
      </c>
      <c r="H45" t="s">
        <v>137</v>
      </c>
      <c r="I45" s="57">
        <f>Vanilla(I33,I34,I35,I36,I37,I38,I39,I40,I41,I42,I43,I44)</f>
        <v>3.0036405249392713E-2</v>
      </c>
      <c r="J45" s="57">
        <f>Vanilla(J33,J34,J35,J36,J37,J38,J39,J40,J41,J42,J43,J44)</f>
        <v>0.48498179737530361</v>
      </c>
      <c r="K45" s="57">
        <f>Vanilla(K33,K34,K35,K36,K37,K38,K39,K40,K41,K42,K43,K44)</f>
        <v>5.293750298674009E-2</v>
      </c>
      <c r="L45" s="63">
        <f>Vanilla(L33,L34,L35,L36,L37,L38,L39,L40,L41,L42,L43,L44)</f>
        <v>2.0014727156630508E-3</v>
      </c>
    </row>
    <row r="46" spans="1:20" x14ac:dyDescent="0.2">
      <c r="B46" s="57">
        <v>10000000</v>
      </c>
      <c r="C46" s="57">
        <f>C45*$B$46</f>
        <v>250336.41786075922</v>
      </c>
      <c r="D46" s="57"/>
      <c r="E46" s="57"/>
      <c r="F46" s="57">
        <f>F45*$B$46</f>
        <v>25028.264026811183</v>
      </c>
      <c r="H46" s="57">
        <v>10000000</v>
      </c>
      <c r="I46" s="57">
        <f>I45*$B$46</f>
        <v>300364.05249392713</v>
      </c>
      <c r="J46" s="57">
        <f>J45*$B$46</f>
        <v>4849817.973753036</v>
      </c>
      <c r="K46" s="57">
        <f>K45*$B$46</f>
        <v>529375.02986740088</v>
      </c>
      <c r="L46" s="57">
        <f>L45*$B$46</f>
        <v>20014.727156630506</v>
      </c>
    </row>
    <row r="47" spans="1:20" x14ac:dyDescent="0.2">
      <c r="F47">
        <f>F46/C46</f>
        <v>9.9978517870828801E-2</v>
      </c>
      <c r="L47">
        <f>L46/I46</f>
        <v>6.6634895189513974E-2</v>
      </c>
    </row>
    <row r="48" spans="1:20" x14ac:dyDescent="0.2">
      <c r="F48">
        <f>C45/(F45*100)</f>
        <v>0.10002148674498151</v>
      </c>
      <c r="L48">
        <f>I45/L45</f>
        <v>15.00715199079904</v>
      </c>
    </row>
    <row r="49" spans="2:25" x14ac:dyDescent="0.2">
      <c r="L49" t="b">
        <f>L48=F48</f>
        <v>0</v>
      </c>
    </row>
    <row r="52" spans="2:25" x14ac:dyDescent="0.2">
      <c r="G52">
        <f>G58-G57</f>
        <v>240</v>
      </c>
      <c r="H52">
        <f>H58-H57</f>
        <v>120</v>
      </c>
      <c r="I52">
        <f>SQRT(H52/G52)</f>
        <v>0.70710678118654757</v>
      </c>
    </row>
    <row r="53" spans="2:25" ht="15" x14ac:dyDescent="0.25">
      <c r="C53" s="66">
        <v>240</v>
      </c>
      <c r="D53" s="66">
        <v>120</v>
      </c>
      <c r="Q53" t="s">
        <v>167</v>
      </c>
      <c r="R53" s="58">
        <f>[0]!xVolFra(C57,C58,D58,C64,D64)</f>
        <v>7.4833147735478847E-2</v>
      </c>
    </row>
    <row r="54" spans="2:25" x14ac:dyDescent="0.2">
      <c r="C54" t="s">
        <v>165</v>
      </c>
      <c r="S54" t="s">
        <v>174</v>
      </c>
      <c r="W54" t="s">
        <v>174</v>
      </c>
    </row>
    <row r="55" spans="2:25" x14ac:dyDescent="0.2">
      <c r="B55" t="s">
        <v>141</v>
      </c>
      <c r="C55" t="s">
        <v>94</v>
      </c>
      <c r="D55" t="s">
        <v>94</v>
      </c>
      <c r="F55" t="s">
        <v>141</v>
      </c>
      <c r="G55" t="s">
        <v>94</v>
      </c>
      <c r="H55" t="s">
        <v>94</v>
      </c>
      <c r="J55" t="s">
        <v>141</v>
      </c>
      <c r="K55" t="s">
        <v>94</v>
      </c>
      <c r="L55" t="s">
        <v>94</v>
      </c>
      <c r="N55" t="s">
        <v>141</v>
      </c>
      <c r="O55" t="s">
        <v>94</v>
      </c>
      <c r="P55" t="s">
        <v>94</v>
      </c>
      <c r="S55" t="s">
        <v>141</v>
      </c>
      <c r="T55" t="s">
        <v>94</v>
      </c>
      <c r="U55" t="s">
        <v>94</v>
      </c>
      <c r="W55" t="s">
        <v>141</v>
      </c>
      <c r="X55" t="s">
        <v>169</v>
      </c>
      <c r="Y55" t="str">
        <f>X55</f>
        <v>GBPUSD</v>
      </c>
    </row>
    <row r="56" spans="2:25" x14ac:dyDescent="0.2">
      <c r="B56" t="s">
        <v>142</v>
      </c>
      <c r="C56" t="s">
        <v>135</v>
      </c>
      <c r="D56" t="s">
        <v>135</v>
      </c>
      <c r="F56" t="s">
        <v>142</v>
      </c>
      <c r="G56" t="s">
        <v>135</v>
      </c>
      <c r="H56" t="s">
        <v>135</v>
      </c>
      <c r="J56" t="s">
        <v>142</v>
      </c>
      <c r="K56" t="s">
        <v>135</v>
      </c>
      <c r="L56" t="s">
        <v>135</v>
      </c>
      <c r="N56" t="s">
        <v>142</v>
      </c>
      <c r="O56" t="s">
        <v>135</v>
      </c>
      <c r="P56" t="s">
        <v>135</v>
      </c>
      <c r="S56" t="s">
        <v>142</v>
      </c>
      <c r="T56" t="s">
        <v>135</v>
      </c>
      <c r="U56" t="s">
        <v>135</v>
      </c>
      <c r="W56" t="s">
        <v>142</v>
      </c>
      <c r="X56" t="s">
        <v>135</v>
      </c>
      <c r="Y56" t="s">
        <v>135</v>
      </c>
    </row>
    <row r="57" spans="2:25" x14ac:dyDescent="0.2">
      <c r="B57" t="s">
        <v>63</v>
      </c>
      <c r="C57" s="61">
        <v>40246</v>
      </c>
      <c r="D57" s="61">
        <v>40246</v>
      </c>
      <c r="F57" t="s">
        <v>63</v>
      </c>
      <c r="G57" s="61">
        <f>C57</f>
        <v>40246</v>
      </c>
      <c r="H57" s="61">
        <f>D57</f>
        <v>40246</v>
      </c>
      <c r="J57" t="s">
        <v>63</v>
      </c>
      <c r="K57" s="61">
        <f>G57</f>
        <v>40246</v>
      </c>
      <c r="L57" s="61">
        <f>H57</f>
        <v>40246</v>
      </c>
      <c r="N57" t="s">
        <v>63</v>
      </c>
      <c r="O57" s="61">
        <f>K57</f>
        <v>40246</v>
      </c>
      <c r="P57" s="61">
        <f>L57</f>
        <v>40246</v>
      </c>
      <c r="S57" t="s">
        <v>63</v>
      </c>
      <c r="T57" s="61">
        <f>G57</f>
        <v>40246</v>
      </c>
      <c r="U57" s="61">
        <f>T57</f>
        <v>40246</v>
      </c>
      <c r="W57" t="s">
        <v>63</v>
      </c>
      <c r="X57" s="61">
        <f>K57</f>
        <v>40246</v>
      </c>
      <c r="Y57" s="61">
        <f>X57</f>
        <v>40246</v>
      </c>
    </row>
    <row r="58" spans="2:25" x14ac:dyDescent="0.2">
      <c r="B58" t="s">
        <v>64</v>
      </c>
      <c r="C58" s="61">
        <f>C57+C53</f>
        <v>40486</v>
      </c>
      <c r="D58" s="61">
        <f>D57+D53</f>
        <v>40366</v>
      </c>
      <c r="F58" t="s">
        <v>64</v>
      </c>
      <c r="G58" s="61">
        <f>C58</f>
        <v>40486</v>
      </c>
      <c r="H58" s="61">
        <f>D58</f>
        <v>40366</v>
      </c>
      <c r="J58" t="s">
        <v>64</v>
      </c>
      <c r="K58" s="61">
        <f>G58</f>
        <v>40486</v>
      </c>
      <c r="L58" s="61">
        <f>H58</f>
        <v>40366</v>
      </c>
      <c r="N58" t="s">
        <v>64</v>
      </c>
      <c r="O58" s="61">
        <f>K58</f>
        <v>40486</v>
      </c>
      <c r="P58" s="61">
        <f>L58</f>
        <v>40366</v>
      </c>
      <c r="S58" t="s">
        <v>64</v>
      </c>
      <c r="T58" s="61">
        <f>G58</f>
        <v>40486</v>
      </c>
      <c r="U58" s="61">
        <f>T58</f>
        <v>40486</v>
      </c>
      <c r="W58" t="s">
        <v>64</v>
      </c>
      <c r="X58" s="61">
        <f>K58</f>
        <v>40486</v>
      </c>
      <c r="Y58" s="61">
        <f>X58</f>
        <v>40486</v>
      </c>
    </row>
    <row r="59" spans="2:25" x14ac:dyDescent="0.2">
      <c r="B59" t="s">
        <v>65</v>
      </c>
      <c r="C59" s="62">
        <v>1.25</v>
      </c>
      <c r="D59" s="62">
        <v>1.25</v>
      </c>
      <c r="F59" t="s">
        <v>65</v>
      </c>
      <c r="G59" s="62">
        <v>1.25</v>
      </c>
      <c r="H59" s="62">
        <v>1.25</v>
      </c>
      <c r="J59" t="s">
        <v>65</v>
      </c>
      <c r="K59" s="62">
        <v>1.25</v>
      </c>
      <c r="L59" s="62">
        <v>1.25</v>
      </c>
      <c r="N59" t="s">
        <v>65</v>
      </c>
      <c r="O59" s="62">
        <v>1.25</v>
      </c>
      <c r="P59" s="62">
        <v>1.25</v>
      </c>
      <c r="S59" t="s">
        <v>65</v>
      </c>
      <c r="T59" s="62">
        <v>1.25</v>
      </c>
      <c r="U59" s="62">
        <f>T59</f>
        <v>1.25</v>
      </c>
      <c r="W59" t="s">
        <v>65</v>
      </c>
      <c r="X59" s="62">
        <f>H115</f>
        <v>1.6</v>
      </c>
      <c r="Y59" s="62">
        <f>X59</f>
        <v>1.6</v>
      </c>
    </row>
    <row r="60" spans="2:25" x14ac:dyDescent="0.2">
      <c r="B60" t="s">
        <v>66</v>
      </c>
      <c r="C60" s="62">
        <v>1.25</v>
      </c>
      <c r="D60" s="62">
        <v>1.25</v>
      </c>
      <c r="F60" t="s">
        <v>66</v>
      </c>
      <c r="G60" s="62">
        <v>1.25</v>
      </c>
      <c r="H60" s="62">
        <v>1.25</v>
      </c>
      <c r="J60" t="s">
        <v>66</v>
      </c>
      <c r="K60" s="62">
        <v>1.25</v>
      </c>
      <c r="L60" s="62">
        <v>1.25</v>
      </c>
      <c r="N60" t="s">
        <v>66</v>
      </c>
      <c r="O60" s="62">
        <v>1.25</v>
      </c>
      <c r="P60" s="62">
        <v>1.25</v>
      </c>
      <c r="S60" t="s">
        <v>66</v>
      </c>
      <c r="T60" s="62">
        <v>1.25</v>
      </c>
      <c r="U60" s="62" t="e">
        <f>T60+#REF!</f>
        <v>#REF!</v>
      </c>
      <c r="W60" t="s">
        <v>66</v>
      </c>
      <c r="X60" s="62">
        <f>H116</f>
        <v>1.6</v>
      </c>
      <c r="Y60" s="62">
        <f>X60+X71</f>
        <v>1.6083747827614434</v>
      </c>
    </row>
    <row r="61" spans="2:25" x14ac:dyDescent="0.2">
      <c r="B61" t="s">
        <v>67</v>
      </c>
      <c r="C61" s="62">
        <v>1.25</v>
      </c>
      <c r="D61" s="62">
        <v>1.25</v>
      </c>
      <c r="F61" t="s">
        <v>67</v>
      </c>
      <c r="G61" s="62">
        <v>1.25</v>
      </c>
      <c r="H61" s="62">
        <v>1.25</v>
      </c>
      <c r="J61" t="s">
        <v>67</v>
      </c>
      <c r="K61" s="62">
        <v>1.25</v>
      </c>
      <c r="L61" s="62">
        <v>1.25</v>
      </c>
      <c r="N61" t="s">
        <v>67</v>
      </c>
      <c r="O61" s="62">
        <v>1.25</v>
      </c>
      <c r="P61" s="62">
        <v>1.25</v>
      </c>
      <c r="S61" t="s">
        <v>67</v>
      </c>
      <c r="T61" s="62">
        <f>T60</f>
        <v>1.25</v>
      </c>
      <c r="U61" s="62" t="e">
        <f>U60</f>
        <v>#REF!</v>
      </c>
      <c r="W61" t="s">
        <v>67</v>
      </c>
      <c r="X61" s="62">
        <f>H117</f>
        <v>1.6</v>
      </c>
      <c r="Y61" s="62">
        <f>Y60</f>
        <v>1.6083747827614434</v>
      </c>
    </row>
    <row r="62" spans="2:25" x14ac:dyDescent="0.2">
      <c r="B62" t="s">
        <v>143</v>
      </c>
      <c r="C62">
        <f>EXP($A$40)-1</f>
        <v>0</v>
      </c>
      <c r="D62">
        <f>EXP($A$40)-1</f>
        <v>0</v>
      </c>
      <c r="F62" t="s">
        <v>143</v>
      </c>
      <c r="G62">
        <f>EXP($A$40)-1</f>
        <v>0</v>
      </c>
      <c r="H62">
        <f>EXP($A$40)-1</f>
        <v>0</v>
      </c>
      <c r="J62" t="s">
        <v>143</v>
      </c>
      <c r="K62">
        <f>EXP($A$40)-1</f>
        <v>0</v>
      </c>
      <c r="L62">
        <f>EXP($A$40)-1</f>
        <v>0</v>
      </c>
      <c r="N62" t="s">
        <v>143</v>
      </c>
      <c r="O62">
        <f>EXP($A$40)-1</f>
        <v>0</v>
      </c>
      <c r="P62">
        <f>EXP($A$40)-1</f>
        <v>0</v>
      </c>
      <c r="S62" t="s">
        <v>143</v>
      </c>
      <c r="T62">
        <f>EXP($A$40)-1</f>
        <v>0</v>
      </c>
      <c r="U62">
        <f>EXP($A$40)-1</f>
        <v>0</v>
      </c>
      <c r="W62" t="s">
        <v>143</v>
      </c>
      <c r="X62">
        <f>EXP($A$40)-1</f>
        <v>0</v>
      </c>
      <c r="Y62">
        <f>EXP($A$40)-1</f>
        <v>0</v>
      </c>
    </row>
    <row r="63" spans="2:25" x14ac:dyDescent="0.2">
      <c r="B63" t="s">
        <v>144</v>
      </c>
      <c r="C63" t="s">
        <v>53</v>
      </c>
      <c r="D63" t="s">
        <v>53</v>
      </c>
      <c r="F63" t="s">
        <v>144</v>
      </c>
      <c r="G63" t="s">
        <v>53</v>
      </c>
      <c r="H63" t="s">
        <v>53</v>
      </c>
      <c r="J63" t="s">
        <v>144</v>
      </c>
      <c r="K63" t="s">
        <v>53</v>
      </c>
      <c r="L63" t="s">
        <v>53</v>
      </c>
      <c r="N63" t="s">
        <v>144</v>
      </c>
      <c r="O63" t="s">
        <v>53</v>
      </c>
      <c r="P63" t="s">
        <v>53</v>
      </c>
      <c r="S63" t="s">
        <v>144</v>
      </c>
      <c r="T63" t="s">
        <v>53</v>
      </c>
      <c r="U63" t="s">
        <v>53</v>
      </c>
      <c r="W63" t="s">
        <v>144</v>
      </c>
      <c r="X63" t="s">
        <v>53</v>
      </c>
      <c r="Y63" t="s">
        <v>53</v>
      </c>
    </row>
    <row r="64" spans="2:25" x14ac:dyDescent="0.2">
      <c r="B64" t="s">
        <v>145</v>
      </c>
      <c r="C64" s="58">
        <v>0.1</v>
      </c>
      <c r="D64" s="58">
        <v>0.12</v>
      </c>
      <c r="F64" t="s">
        <v>145</v>
      </c>
      <c r="G64" s="58">
        <f>C64</f>
        <v>0.1</v>
      </c>
      <c r="H64" s="58">
        <f>D64</f>
        <v>0.12</v>
      </c>
      <c r="J64" t="s">
        <v>145</v>
      </c>
      <c r="K64" s="58">
        <f>G64</f>
        <v>0.1</v>
      </c>
      <c r="L64" s="58">
        <f>H64</f>
        <v>0.12</v>
      </c>
      <c r="N64" t="s">
        <v>145</v>
      </c>
      <c r="O64" s="58">
        <f>K64</f>
        <v>0.1</v>
      </c>
      <c r="P64" s="58">
        <f>L64</f>
        <v>0.12</v>
      </c>
      <c r="S64" t="s">
        <v>145</v>
      </c>
      <c r="T64" s="58">
        <v>0.1</v>
      </c>
      <c r="U64" s="58">
        <v>0.1</v>
      </c>
      <c r="W64" t="s">
        <v>145</v>
      </c>
      <c r="X64" s="58">
        <v>0.1</v>
      </c>
      <c r="Y64" s="58">
        <v>0.1</v>
      </c>
    </row>
    <row r="65" spans="2:25" x14ac:dyDescent="0.2">
      <c r="B65" t="s">
        <v>146</v>
      </c>
      <c r="C65" t="s">
        <v>137</v>
      </c>
      <c r="D65" t="s">
        <v>137</v>
      </c>
      <c r="F65" t="s">
        <v>146</v>
      </c>
      <c r="G65" t="s">
        <v>149</v>
      </c>
      <c r="H65" t="s">
        <v>149</v>
      </c>
      <c r="J65" t="s">
        <v>146</v>
      </c>
      <c r="K65" t="s">
        <v>132</v>
      </c>
      <c r="L65" t="str">
        <f>K65</f>
        <v>theta</v>
      </c>
      <c r="N65" t="s">
        <v>146</v>
      </c>
      <c r="O65" t="s">
        <v>158</v>
      </c>
      <c r="P65" t="s">
        <v>158</v>
      </c>
      <c r="S65" t="s">
        <v>146</v>
      </c>
      <c r="T65" t="s">
        <v>138</v>
      </c>
      <c r="U65" t="s">
        <v>138</v>
      </c>
      <c r="W65" t="s">
        <v>146</v>
      </c>
      <c r="X65" t="s">
        <v>138</v>
      </c>
      <c r="Y65" t="s">
        <v>138</v>
      </c>
    </row>
    <row r="66" spans="2:25" x14ac:dyDescent="0.2">
      <c r="B66" t="s">
        <v>147</v>
      </c>
      <c r="C66" t="s">
        <v>148</v>
      </c>
      <c r="D66" t="s">
        <v>148</v>
      </c>
      <c r="F66" t="s">
        <v>147</v>
      </c>
      <c r="G66" t="s">
        <v>148</v>
      </c>
      <c r="H66" t="s">
        <v>148</v>
      </c>
      <c r="J66" t="s">
        <v>147</v>
      </c>
      <c r="K66" t="str">
        <f>G66</f>
        <v>RHS</v>
      </c>
      <c r="L66" t="str">
        <f>H66</f>
        <v>RHS</v>
      </c>
      <c r="N66" t="s">
        <v>147</v>
      </c>
      <c r="O66" t="s">
        <v>148</v>
      </c>
      <c r="P66" t="s">
        <v>148</v>
      </c>
      <c r="S66" t="s">
        <v>147</v>
      </c>
      <c r="T66" t="s">
        <v>148</v>
      </c>
      <c r="U66" t="s">
        <v>148</v>
      </c>
      <c r="W66" t="s">
        <v>147</v>
      </c>
      <c r="X66" t="s">
        <v>148</v>
      </c>
      <c r="Y66" t="s">
        <v>148</v>
      </c>
    </row>
    <row r="67" spans="2:25" x14ac:dyDescent="0.2">
      <c r="B67" t="s">
        <v>137</v>
      </c>
      <c r="C67" s="57">
        <f>Vanilla(C55,C56,C57,C58,C59,C60,C61,C62,C63,C64,C65,C66)</f>
        <v>4.0426113522229912E-2</v>
      </c>
      <c r="D67" s="57">
        <f>Vanilla(D55,D56,D57,D58,D59,D60,D61,D62,D63,D64,D65,D66)</f>
        <v>3.4305337449344053E-2</v>
      </c>
      <c r="F67" t="s">
        <v>149</v>
      </c>
      <c r="G67" s="57">
        <f>Vanilla(G55,G56,G57,G58,G59,G60,G61,G62,G63,G64,G65,G66)</f>
        <v>4.9157968032942374E-2</v>
      </c>
      <c r="H67" s="63">
        <f>Vanilla(H55,H56,H57,H58,H59,H60,H61,H62,H63,H64,H65,H66)</f>
        <v>5.7946555020219129E-2</v>
      </c>
      <c r="J67" t="s">
        <v>132</v>
      </c>
      <c r="K67" s="59">
        <f>Vanilla(K55,K56,K57,K58,K59,K60,K61,K62,K63,K64,K65,K66)</f>
        <v>-8.4262758752728928E-5</v>
      </c>
      <c r="L67" s="59">
        <f>Vanilla(L55,L56,L57,L58,L59,L60,L61,L62,L63,L64,L65,L66)</f>
        <v>-1.4318151633352372E-4</v>
      </c>
      <c r="N67" t="s">
        <v>158</v>
      </c>
      <c r="O67" s="57">
        <f>Vanilla(O55,O56,O57,O58,O59,O60,O61,O62,O63,O64,O65,O66)</f>
        <v>4.0403809342144416E-3</v>
      </c>
      <c r="P67" s="63">
        <f>Vanilla(P55,P56,P57,P58,P59,P60,P61,P62,P63,P64,P65,P66)</f>
        <v>2.8576383297642307E-3</v>
      </c>
      <c r="S67" t="s">
        <v>138</v>
      </c>
      <c r="T67" s="58">
        <f>Vanilla(T55,T56,T57,T58,T59,T60,T61,T62,T63,T64,T65,T66)</f>
        <v>0.51617044540889201</v>
      </c>
      <c r="U67" s="58" t="e">
        <f>Vanilla(U55,U56,U57,U58,U59,U60,U61,U62,U63,U64,U65,U66)</f>
        <v>#VALUE!</v>
      </c>
      <c r="W67" t="s">
        <v>138</v>
      </c>
      <c r="X67" s="58">
        <f>Vanilla(X55,X56,X57,X58,X59,X60,X61,X62,X63,X64,X65,X66)</f>
        <v>0.51617044540889201</v>
      </c>
      <c r="Y67" s="58">
        <f>Vanilla(Y55,Y56,Y57,Y58,Y59,Y60,Y61,Y62,Y63,Y64,Y65,Y66)</f>
        <v>0.54178264034612655</v>
      </c>
    </row>
    <row r="68" spans="2:25" ht="15" x14ac:dyDescent="0.25">
      <c r="B68" t="s">
        <v>166</v>
      </c>
      <c r="C68" s="65">
        <v>12368243.109124379</v>
      </c>
      <c r="D68" s="65">
        <f>-C68/B69</f>
        <v>-14574991.449604889</v>
      </c>
      <c r="F68" t="s">
        <v>166</v>
      </c>
      <c r="G68" s="68">
        <f>C68</f>
        <v>12368243.109124379</v>
      </c>
      <c r="H68" s="67">
        <f>-G68*(G67/H67)*(G64*G60)^2/(H64*H60)^2</f>
        <v>-7286380.0863313852</v>
      </c>
      <c r="J68" t="s">
        <v>166</v>
      </c>
      <c r="K68" s="65">
        <f>C68</f>
        <v>12368243.109124379</v>
      </c>
      <c r="L68" s="65">
        <f>-K68/J69</f>
        <v>-7278748.7658086689</v>
      </c>
      <c r="N68" t="s">
        <v>166</v>
      </c>
      <c r="O68" s="65">
        <f>C68</f>
        <v>12368243.109124379</v>
      </c>
      <c r="P68" s="65">
        <f>-O68/N69</f>
        <v>-17487312.207195323</v>
      </c>
      <c r="S68" t="s">
        <v>166</v>
      </c>
      <c r="T68" s="65">
        <v>10000000</v>
      </c>
      <c r="U68" s="65">
        <f>T68</f>
        <v>10000000</v>
      </c>
      <c r="W68" t="s">
        <v>166</v>
      </c>
      <c r="X68" s="65">
        <v>10000000</v>
      </c>
      <c r="Y68" s="65">
        <f>X68</f>
        <v>10000000</v>
      </c>
    </row>
    <row r="69" spans="2:25" x14ac:dyDescent="0.2">
      <c r="B69">
        <f>D67/C67</f>
        <v>0.84859350702807224</v>
      </c>
      <c r="C69" s="65">
        <f>C67*C68</f>
        <v>500000</v>
      </c>
      <c r="D69" s="65">
        <f>D67*D68</f>
        <v>-500000</v>
      </c>
      <c r="F69" t="s">
        <v>171</v>
      </c>
      <c r="G69">
        <f>G60*G64/SQRT(365)</f>
        <v>6.5427990323776719E-3</v>
      </c>
      <c r="H69">
        <f>H60*H64/SQRT(365)</f>
        <v>7.8513588388532049E-3</v>
      </c>
      <c r="J69" s="57">
        <f>L67/K67</f>
        <v>1.6992265438839154</v>
      </c>
      <c r="K69" s="57">
        <f>K67*K68</f>
        <v>-1042.1822852992495</v>
      </c>
      <c r="L69" s="65">
        <f>L67*L68</f>
        <v>1042.1822852992495</v>
      </c>
      <c r="N69">
        <f>P67/O67</f>
        <v>0.70726953133685955</v>
      </c>
      <c r="O69" s="65">
        <f>O67*O68</f>
        <v>49972.413647835288</v>
      </c>
      <c r="P69" s="65">
        <f>P67*P68</f>
        <v>-49972.413647835288</v>
      </c>
      <c r="T69" s="65">
        <f>T67*T68</f>
        <v>5161704.4540889198</v>
      </c>
      <c r="U69" s="65" t="e">
        <f>U67*U68</f>
        <v>#VALUE!</v>
      </c>
      <c r="X69" s="65">
        <f>X67*X68</f>
        <v>5161704.4540889198</v>
      </c>
      <c r="Y69" s="65">
        <f>Y67*Y68</f>
        <v>5417826.4034612654</v>
      </c>
    </row>
    <row r="70" spans="2:25" x14ac:dyDescent="0.2">
      <c r="D70" s="65">
        <f>SUM(C69:E69)</f>
        <v>0</v>
      </c>
      <c r="E70">
        <f>H67/G67</f>
        <v>1.1787825522280992</v>
      </c>
      <c r="F70" t="s">
        <v>177</v>
      </c>
      <c r="G70" s="57">
        <f>G68*(G67/(0.01*G60*G60/G59))*G69^2/2</f>
        <v>1041.0919509965688</v>
      </c>
      <c r="H70" s="57">
        <f>H68*(H67/(0.01*H60*H60/H59))*H69^2/2</f>
        <v>-1041.0919509965684</v>
      </c>
      <c r="L70" s="65">
        <f>SUM(K69:O69)</f>
        <v>49973.120917366628</v>
      </c>
      <c r="P70" s="65">
        <f>SUM(O69:S69)</f>
        <v>0</v>
      </c>
      <c r="S70" t="s">
        <v>175</v>
      </c>
      <c r="T70" s="65">
        <f>T67*T68</f>
        <v>5161704.4540889198</v>
      </c>
      <c r="U70" s="65" t="e">
        <f>U67*U68</f>
        <v>#VALUE!</v>
      </c>
      <c r="W70" t="s">
        <v>175</v>
      </c>
      <c r="X70" s="65">
        <f>X67*X68</f>
        <v>5161704.4540889198</v>
      </c>
      <c r="Y70" s="65">
        <f>Y67*Y68</f>
        <v>5417826.4034612654</v>
      </c>
    </row>
    <row r="71" spans="2:25" x14ac:dyDescent="0.2">
      <c r="H71" s="57">
        <f>H68/D68*D69</f>
        <v>-249961.72764577885</v>
      </c>
      <c r="S71" t="s">
        <v>171</v>
      </c>
      <c r="T71">
        <f>T60*T64/SQRT(365)</f>
        <v>6.5427990323776719E-3</v>
      </c>
      <c r="U71" t="e">
        <f>U60*U64/SQRT(365)</f>
        <v>#REF!</v>
      </c>
      <c r="W71" t="s">
        <v>171</v>
      </c>
      <c r="X71">
        <f>X60*X64/SQRT(365)</f>
        <v>8.3747827614434212E-3</v>
      </c>
      <c r="Y71">
        <f>Y60*Y64/SQRT(365)</f>
        <v>8.4186183778817772E-3</v>
      </c>
    </row>
    <row r="72" spans="2:25" x14ac:dyDescent="0.2">
      <c r="G72" s="57"/>
      <c r="H72" s="57"/>
      <c r="S72" t="s">
        <v>176</v>
      </c>
      <c r="T72" s="57">
        <f>T71/(0.01*T60)*T70</f>
        <v>2701759.5926106004</v>
      </c>
      <c r="U72" s="57" t="e">
        <f>U71/(0.01*U60)*U70</f>
        <v>#REF!</v>
      </c>
      <c r="W72" t="s">
        <v>176</v>
      </c>
      <c r="X72" s="57">
        <f>X71/(0.01*X60)*X70</f>
        <v>2701759.5926106009</v>
      </c>
      <c r="Y72" s="57">
        <f>Y71/(0.01*Y60)*Y70</f>
        <v>2835819.9480125261</v>
      </c>
    </row>
    <row r="73" spans="2:25" x14ac:dyDescent="0.2">
      <c r="J73" t="s">
        <v>173</v>
      </c>
      <c r="K73" s="65">
        <f>K69</f>
        <v>-1042.1822852992495</v>
      </c>
      <c r="S73" t="s">
        <v>177</v>
      </c>
      <c r="T73" s="57">
        <f>AG71/2*T72</f>
        <v>0</v>
      </c>
      <c r="U73" s="57" t="e">
        <f>U71/2*U72</f>
        <v>#REF!</v>
      </c>
      <c r="W73" t="s">
        <v>177</v>
      </c>
      <c r="X73" s="57">
        <f>AK71/2*X72</f>
        <v>0</v>
      </c>
      <c r="Y73" s="57">
        <f>Y71/2*Y72</f>
        <v>11936.842965350999</v>
      </c>
    </row>
    <row r="74" spans="2:25" x14ac:dyDescent="0.2">
      <c r="G74" s="57"/>
      <c r="H74" s="57"/>
      <c r="K74" s="65"/>
      <c r="T74" s="57"/>
      <c r="U74" s="57"/>
      <c r="X74" s="57"/>
      <c r="Y74" s="57"/>
    </row>
    <row r="75" spans="2:25" x14ac:dyDescent="0.2">
      <c r="H75" s="57"/>
      <c r="K75" s="65"/>
      <c r="T75" s="57"/>
      <c r="U75" s="57"/>
      <c r="X75" s="57"/>
      <c r="Y75" s="57"/>
    </row>
    <row r="76" spans="2:25" ht="15" x14ac:dyDescent="0.25">
      <c r="C76" s="66">
        <v>31</v>
      </c>
      <c r="D76" s="66">
        <v>93</v>
      </c>
      <c r="R76" s="58"/>
    </row>
    <row r="77" spans="2:25" x14ac:dyDescent="0.2">
      <c r="C77" t="s">
        <v>165</v>
      </c>
      <c r="T77" s="57"/>
      <c r="U77" s="57"/>
      <c r="X77" s="57"/>
      <c r="Y77" s="57"/>
    </row>
    <row r="78" spans="2:25" x14ac:dyDescent="0.2">
      <c r="B78" t="s">
        <v>141</v>
      </c>
      <c r="C78" t="s">
        <v>95</v>
      </c>
      <c r="D78" t="s">
        <v>95</v>
      </c>
      <c r="F78" t="s">
        <v>141</v>
      </c>
      <c r="G78" t="s">
        <v>95</v>
      </c>
      <c r="H78" t="s">
        <v>95</v>
      </c>
      <c r="J78" t="s">
        <v>141</v>
      </c>
      <c r="K78" t="str">
        <f>G78</f>
        <v>USDJPY</v>
      </c>
      <c r="L78" t="str">
        <f>H78</f>
        <v>USDJPY</v>
      </c>
      <c r="N78" t="s">
        <v>141</v>
      </c>
      <c r="O78" t="str">
        <f>K78</f>
        <v>USDJPY</v>
      </c>
      <c r="P78" t="str">
        <f>L78</f>
        <v>USDJPY</v>
      </c>
      <c r="R78" s="58"/>
    </row>
    <row r="79" spans="2:25" x14ac:dyDescent="0.2">
      <c r="B79" t="s">
        <v>142</v>
      </c>
      <c r="C79" t="s">
        <v>135</v>
      </c>
      <c r="D79" t="s">
        <v>135</v>
      </c>
      <c r="F79" t="s">
        <v>142</v>
      </c>
      <c r="G79" t="s">
        <v>135</v>
      </c>
      <c r="H79" t="s">
        <v>135</v>
      </c>
      <c r="J79" t="s">
        <v>142</v>
      </c>
      <c r="K79" t="s">
        <v>135</v>
      </c>
      <c r="L79" t="s">
        <v>135</v>
      </c>
      <c r="N79" t="s">
        <v>142</v>
      </c>
      <c r="O79" t="s">
        <v>135</v>
      </c>
      <c r="P79" t="s">
        <v>135</v>
      </c>
      <c r="T79" s="57"/>
      <c r="U79" s="57"/>
      <c r="X79" s="57"/>
      <c r="Y79" s="57"/>
    </row>
    <row r="80" spans="2:25" x14ac:dyDescent="0.2">
      <c r="B80" t="s">
        <v>63</v>
      </c>
      <c r="C80" s="61">
        <v>40246</v>
      </c>
      <c r="D80" s="61">
        <v>40246</v>
      </c>
      <c r="F80" t="s">
        <v>63</v>
      </c>
      <c r="G80" s="61">
        <f t="shared" ref="G80:H84" si="0">C80</f>
        <v>40246</v>
      </c>
      <c r="H80" s="61">
        <f t="shared" si="0"/>
        <v>40246</v>
      </c>
      <c r="J80" t="s">
        <v>63</v>
      </c>
      <c r="K80" s="61">
        <f t="shared" ref="K80:L84" si="1">G80</f>
        <v>40246</v>
      </c>
      <c r="L80" s="61">
        <f t="shared" si="1"/>
        <v>40246</v>
      </c>
      <c r="N80" t="s">
        <v>63</v>
      </c>
      <c r="O80" s="61">
        <f t="shared" ref="O80:P84" si="2">K80</f>
        <v>40246</v>
      </c>
      <c r="P80" s="61">
        <f t="shared" si="2"/>
        <v>40246</v>
      </c>
      <c r="R80" s="58"/>
    </row>
    <row r="81" spans="2:25" x14ac:dyDescent="0.2">
      <c r="B81" t="s">
        <v>64</v>
      </c>
      <c r="C81" s="61">
        <f>C80+C76</f>
        <v>40277</v>
      </c>
      <c r="D81" s="61">
        <f>D80+D76</f>
        <v>40339</v>
      </c>
      <c r="F81" t="s">
        <v>64</v>
      </c>
      <c r="G81" s="61">
        <f t="shared" si="0"/>
        <v>40277</v>
      </c>
      <c r="H81" s="61">
        <f t="shared" si="0"/>
        <v>40339</v>
      </c>
      <c r="J81" t="s">
        <v>64</v>
      </c>
      <c r="K81" s="61">
        <f t="shared" si="1"/>
        <v>40277</v>
      </c>
      <c r="L81" s="61">
        <f t="shared" si="1"/>
        <v>40339</v>
      </c>
      <c r="N81" t="s">
        <v>64</v>
      </c>
      <c r="O81" s="61">
        <f t="shared" si="2"/>
        <v>40277</v>
      </c>
      <c r="P81" s="61">
        <f t="shared" si="2"/>
        <v>40339</v>
      </c>
      <c r="T81" s="57"/>
      <c r="U81" s="57"/>
      <c r="X81" s="57"/>
      <c r="Y81" s="57"/>
    </row>
    <row r="82" spans="2:25" x14ac:dyDescent="0.2">
      <c r="B82" t="s">
        <v>65</v>
      </c>
      <c r="C82" s="62">
        <v>125</v>
      </c>
      <c r="D82" s="62">
        <f>C82</f>
        <v>125</v>
      </c>
      <c r="F82" t="s">
        <v>65</v>
      </c>
      <c r="G82" s="62">
        <f t="shared" si="0"/>
        <v>125</v>
      </c>
      <c r="H82" s="62">
        <f t="shared" si="0"/>
        <v>125</v>
      </c>
      <c r="J82" t="s">
        <v>65</v>
      </c>
      <c r="K82" s="62">
        <f t="shared" si="1"/>
        <v>125</v>
      </c>
      <c r="L82" s="62">
        <f t="shared" si="1"/>
        <v>125</v>
      </c>
      <c r="N82" t="s">
        <v>65</v>
      </c>
      <c r="O82" s="62">
        <f t="shared" si="2"/>
        <v>125</v>
      </c>
      <c r="P82" s="62">
        <f t="shared" si="2"/>
        <v>125</v>
      </c>
      <c r="R82" s="58"/>
    </row>
    <row r="83" spans="2:25" x14ac:dyDescent="0.2">
      <c r="B83" t="s">
        <v>66</v>
      </c>
      <c r="C83" s="62">
        <v>125</v>
      </c>
      <c r="D83" s="62">
        <f>C83</f>
        <v>125</v>
      </c>
      <c r="F83" t="s">
        <v>66</v>
      </c>
      <c r="G83" s="62">
        <f t="shared" si="0"/>
        <v>125</v>
      </c>
      <c r="H83" s="62">
        <f t="shared" si="0"/>
        <v>125</v>
      </c>
      <c r="J83" t="s">
        <v>66</v>
      </c>
      <c r="K83" s="62">
        <f t="shared" si="1"/>
        <v>125</v>
      </c>
      <c r="L83" s="62">
        <f t="shared" si="1"/>
        <v>125</v>
      </c>
      <c r="N83" t="s">
        <v>66</v>
      </c>
      <c r="O83" s="62">
        <f t="shared" si="2"/>
        <v>125</v>
      </c>
      <c r="P83" s="62">
        <f t="shared" si="2"/>
        <v>125</v>
      </c>
      <c r="T83" s="57"/>
      <c r="U83" s="57"/>
      <c r="X83" s="57"/>
      <c r="Y83" s="57"/>
    </row>
    <row r="84" spans="2:25" x14ac:dyDescent="0.2">
      <c r="B84" t="s">
        <v>67</v>
      </c>
      <c r="C84" s="62">
        <v>125</v>
      </c>
      <c r="D84" s="62">
        <f>C84</f>
        <v>125</v>
      </c>
      <c r="F84" t="s">
        <v>67</v>
      </c>
      <c r="G84" s="62">
        <f t="shared" si="0"/>
        <v>125</v>
      </c>
      <c r="H84" s="62">
        <f t="shared" si="0"/>
        <v>125</v>
      </c>
      <c r="J84" t="s">
        <v>67</v>
      </c>
      <c r="K84" s="62">
        <f t="shared" si="1"/>
        <v>125</v>
      </c>
      <c r="L84" s="62">
        <f t="shared" si="1"/>
        <v>125</v>
      </c>
      <c r="N84" t="s">
        <v>67</v>
      </c>
      <c r="O84" s="62">
        <f t="shared" si="2"/>
        <v>125</v>
      </c>
      <c r="P84" s="62">
        <f t="shared" si="2"/>
        <v>125</v>
      </c>
      <c r="R84" s="58"/>
    </row>
    <row r="85" spans="2:25" x14ac:dyDescent="0.2">
      <c r="B85" t="s">
        <v>143</v>
      </c>
      <c r="C85">
        <f>EXP($A$40)-1</f>
        <v>0</v>
      </c>
      <c r="D85">
        <f>EXP($A$40)-1</f>
        <v>0</v>
      </c>
      <c r="F85" t="s">
        <v>143</v>
      </c>
      <c r="G85">
        <f>EXP($A$40)-1</f>
        <v>0</v>
      </c>
      <c r="H85">
        <f>EXP($A$40)-1</f>
        <v>0</v>
      </c>
      <c r="J85" t="s">
        <v>143</v>
      </c>
      <c r="K85">
        <f>EXP($A$40)-1</f>
        <v>0</v>
      </c>
      <c r="L85">
        <f>EXP($A$40)-1</f>
        <v>0</v>
      </c>
      <c r="N85" t="s">
        <v>143</v>
      </c>
      <c r="O85">
        <f>EXP($A$40)-1</f>
        <v>0</v>
      </c>
      <c r="P85">
        <f>EXP($A$40)-1</f>
        <v>0</v>
      </c>
      <c r="T85" s="57"/>
      <c r="U85" s="57"/>
      <c r="X85" s="57"/>
      <c r="Y85" s="57"/>
    </row>
    <row r="86" spans="2:25" x14ac:dyDescent="0.2">
      <c r="B86" t="s">
        <v>144</v>
      </c>
      <c r="C86" t="s">
        <v>53</v>
      </c>
      <c r="D86" t="s">
        <v>53</v>
      </c>
      <c r="F86" t="s">
        <v>144</v>
      </c>
      <c r="G86" t="s">
        <v>53</v>
      </c>
      <c r="H86" t="s">
        <v>53</v>
      </c>
      <c r="J86" t="s">
        <v>144</v>
      </c>
      <c r="K86" t="s">
        <v>53</v>
      </c>
      <c r="L86" t="s">
        <v>53</v>
      </c>
      <c r="N86" t="s">
        <v>144</v>
      </c>
      <c r="O86" t="s">
        <v>53</v>
      </c>
      <c r="P86" t="s">
        <v>53</v>
      </c>
      <c r="R86" s="58"/>
    </row>
    <row r="87" spans="2:25" x14ac:dyDescent="0.2">
      <c r="B87" t="s">
        <v>145</v>
      </c>
      <c r="C87" s="58">
        <v>0.1</v>
      </c>
      <c r="D87" s="58">
        <v>0.12</v>
      </c>
      <c r="F87" t="s">
        <v>145</v>
      </c>
      <c r="G87" s="58">
        <f>C87</f>
        <v>0.1</v>
      </c>
      <c r="H87" s="58">
        <f>D87</f>
        <v>0.12</v>
      </c>
      <c r="J87" t="s">
        <v>145</v>
      </c>
      <c r="K87" s="58">
        <f>G87</f>
        <v>0.1</v>
      </c>
      <c r="L87" s="58">
        <f>H87</f>
        <v>0.12</v>
      </c>
      <c r="N87" t="s">
        <v>145</v>
      </c>
      <c r="O87" s="58">
        <f>K87</f>
        <v>0.1</v>
      </c>
      <c r="P87" s="58">
        <f>L87</f>
        <v>0.12</v>
      </c>
      <c r="T87" s="57"/>
      <c r="U87" s="57"/>
      <c r="X87" s="57"/>
      <c r="Y87" s="57"/>
    </row>
    <row r="88" spans="2:25" x14ac:dyDescent="0.2">
      <c r="B88" t="s">
        <v>146</v>
      </c>
      <c r="C88" t="s">
        <v>137</v>
      </c>
      <c r="D88" t="s">
        <v>137</v>
      </c>
      <c r="F88" t="s">
        <v>146</v>
      </c>
      <c r="G88" t="s">
        <v>149</v>
      </c>
      <c r="H88" t="s">
        <v>149</v>
      </c>
      <c r="J88" t="s">
        <v>146</v>
      </c>
      <c r="K88" t="s">
        <v>132</v>
      </c>
      <c r="L88" t="str">
        <f>K88</f>
        <v>theta</v>
      </c>
      <c r="N88" t="s">
        <v>146</v>
      </c>
      <c r="O88" t="s">
        <v>158</v>
      </c>
      <c r="P88" t="s">
        <v>158</v>
      </c>
      <c r="R88" s="58"/>
    </row>
    <row r="89" spans="2:25" x14ac:dyDescent="0.2">
      <c r="B89" t="s">
        <v>147</v>
      </c>
      <c r="C89" t="s">
        <v>148</v>
      </c>
      <c r="D89" t="s">
        <v>148</v>
      </c>
      <c r="F89" t="s">
        <v>147</v>
      </c>
      <c r="G89" t="s">
        <v>148</v>
      </c>
      <c r="H89" t="s">
        <v>148</v>
      </c>
      <c r="J89" t="s">
        <v>147</v>
      </c>
      <c r="K89" t="str">
        <f>G89</f>
        <v>RHS</v>
      </c>
      <c r="L89" t="str">
        <f>H89</f>
        <v>RHS</v>
      </c>
      <c r="N89" t="s">
        <v>147</v>
      </c>
      <c r="O89" t="s">
        <v>148</v>
      </c>
      <c r="P89" t="s">
        <v>148</v>
      </c>
      <c r="T89" s="57"/>
      <c r="U89" s="57"/>
      <c r="X89" s="57"/>
      <c r="Y89" s="57"/>
    </row>
    <row r="90" spans="2:25" x14ac:dyDescent="0.2">
      <c r="B90" t="s">
        <v>137</v>
      </c>
      <c r="C90" s="57">
        <f>Vanilla(C78,C79,C80,C81,C82,C83,C84,C85,C86,C87,C88,C89)</f>
        <v>1.4532539478603326</v>
      </c>
      <c r="D90" s="57">
        <f>Vanilla(D78,D79,D80,D81,D82,D83,D84,D85,D86,D87,D88,D89)</f>
        <v>3.0201737124765131</v>
      </c>
      <c r="F90" t="s">
        <v>149</v>
      </c>
      <c r="G90" s="57">
        <f>Vanilla(G78,G79,G80,G81,G82,G83,G84,G85,G86,G87,G88,G89)</f>
        <v>0.13687670579858571</v>
      </c>
      <c r="H90" s="63">
        <f>Vanilla(H78,H79,H80,H81,H82,H83,H84,H85,H86,H87,H88,H89)</f>
        <v>6.5831628298020237E-2</v>
      </c>
      <c r="J90" t="s">
        <v>132</v>
      </c>
      <c r="K90" s="59">
        <f>Vanilla(K78,K79,K80,K81,K82,K83,K84,K85,K86,K87,K88,K89)</f>
        <v>-2.3630064030996323E-2</v>
      </c>
      <c r="L90" s="59">
        <f>Vanilla(L78,L79,L80,L81,L82,L83,L84,L85,L86,L87,L88,L89)</f>
        <v>-1.6276412240259219E-2</v>
      </c>
      <c r="N90" t="s">
        <v>158</v>
      </c>
      <c r="O90" s="57">
        <f>Vanilla(O78,O79,O80,O81,O82,O83,O84,O85,O86,O87,O88,O89)</f>
        <v>0.14531431095055333</v>
      </c>
      <c r="P90" s="63">
        <f>Vanilla(P78,P79,P80,P81,P82,P83,P84,P85,P86,P87,P88,P89)</f>
        <v>0.25160307253626912</v>
      </c>
      <c r="R90" s="58"/>
    </row>
    <row r="91" spans="2:25" x14ac:dyDescent="0.2">
      <c r="B91" t="s">
        <v>166</v>
      </c>
      <c r="C91" s="65">
        <v>10000000</v>
      </c>
      <c r="D91" s="65">
        <f>-C91/B92</f>
        <v>-4811822.3857682617</v>
      </c>
      <c r="F91" t="s">
        <v>166</v>
      </c>
      <c r="G91" s="65">
        <v>10000000</v>
      </c>
      <c r="H91" s="65">
        <f>-G91/F92*(G87/H87)^2</f>
        <v>-14438845.031354493</v>
      </c>
      <c r="J91" t="s">
        <v>166</v>
      </c>
      <c r="K91" s="65">
        <v>10000000</v>
      </c>
      <c r="L91" s="65">
        <f>-K91/J92</f>
        <v>-14517980.794654528</v>
      </c>
      <c r="N91" t="s">
        <v>166</v>
      </c>
      <c r="O91" s="65">
        <v>10000000</v>
      </c>
      <c r="P91" s="65">
        <f>-O91/N92</f>
        <v>-5775538.012541797</v>
      </c>
      <c r="T91" s="57"/>
      <c r="U91" s="57"/>
      <c r="X91" s="57"/>
      <c r="Y91" s="57"/>
    </row>
    <row r="92" spans="2:25" x14ac:dyDescent="0.2">
      <c r="B92">
        <f>D90/C90</f>
        <v>2.0782146966971613</v>
      </c>
      <c r="C92" s="65">
        <f>C90*C91</f>
        <v>14532539.478603326</v>
      </c>
      <c r="D92" s="65">
        <f>D90*D91</f>
        <v>-14532539.478603324</v>
      </c>
      <c r="F92">
        <f>H90/G90</f>
        <v>0.48095567404209438</v>
      </c>
      <c r="H92" s="65">
        <f>H90*H91</f>
        <v>-950532.67915684532</v>
      </c>
      <c r="J92" s="57">
        <f>L90/K90</f>
        <v>0.68880102139837285</v>
      </c>
      <c r="K92" s="65">
        <f>K90*K91</f>
        <v>-236300.64030996323</v>
      </c>
      <c r="L92" s="65">
        <f>L90*L91</f>
        <v>236300.64030996323</v>
      </c>
      <c r="N92">
        <f>P90/O90</f>
        <v>1.7314404265515395</v>
      </c>
      <c r="O92" s="65">
        <f>O90*O91</f>
        <v>1453143.1095055332</v>
      </c>
      <c r="P92" s="65">
        <f>P90*P91</f>
        <v>-1453143.1095055335</v>
      </c>
      <c r="R92" s="58"/>
    </row>
    <row r="93" spans="2:25" x14ac:dyDescent="0.2">
      <c r="D93" s="65">
        <f>SUM(C92:E92)</f>
        <v>0</v>
      </c>
      <c r="F93" t="s">
        <v>175</v>
      </c>
      <c r="G93" s="65">
        <f>G90*G91</f>
        <v>1368767.0579858571</v>
      </c>
      <c r="H93" s="65">
        <f>H90*H91</f>
        <v>-950532.67915684532</v>
      </c>
      <c r="L93" s="65">
        <f>SUM(K92:O92)</f>
        <v>1453144.8409459598</v>
      </c>
      <c r="P93" s="65">
        <f>SUM(O92:S92)</f>
        <v>0</v>
      </c>
      <c r="T93" s="57"/>
      <c r="U93" s="57"/>
      <c r="X93" s="57"/>
      <c r="Y93" s="57"/>
    </row>
    <row r="94" spans="2:25" x14ac:dyDescent="0.2">
      <c r="F94" t="s">
        <v>171</v>
      </c>
      <c r="G94">
        <f>G82*G87/SQRT(365)</f>
        <v>0.65427990323776719</v>
      </c>
      <c r="H94">
        <f>H82*H87/SQRT(365)</f>
        <v>0.78513588388532063</v>
      </c>
      <c r="R94" s="58"/>
    </row>
    <row r="95" spans="2:25" x14ac:dyDescent="0.2">
      <c r="F95" t="s">
        <v>176</v>
      </c>
      <c r="G95" s="57">
        <f>G94/(0.01*G82)*G93</f>
        <v>716445.42260322394</v>
      </c>
      <c r="H95" s="57">
        <f>H94/(0.01*H82)*H93</f>
        <v>-597037.85216935328</v>
      </c>
      <c r="T95" s="57"/>
      <c r="U95" s="57"/>
      <c r="X95" s="57"/>
      <c r="Y95" s="57"/>
    </row>
    <row r="96" spans="2:25" x14ac:dyDescent="0.2">
      <c r="F96" t="s">
        <v>177</v>
      </c>
      <c r="G96" s="57">
        <f>G94/2*G95</f>
        <v>234377.92088798928</v>
      </c>
      <c r="H96" s="57">
        <f>H94/2*H95</f>
        <v>-234377.92088798928</v>
      </c>
      <c r="J96" t="s">
        <v>173</v>
      </c>
      <c r="K96" s="65">
        <f>K92</f>
        <v>-236300.64030996323</v>
      </c>
      <c r="R96" s="58"/>
    </row>
    <row r="97" spans="2:25" x14ac:dyDescent="0.2">
      <c r="G97" s="57"/>
      <c r="H97" s="57">
        <f>H96+G96</f>
        <v>0</v>
      </c>
      <c r="K97" s="65"/>
      <c r="T97" s="57"/>
      <c r="U97" s="57"/>
      <c r="X97" s="57"/>
      <c r="Y97" s="57"/>
    </row>
    <row r="98" spans="2:25" x14ac:dyDescent="0.2">
      <c r="G98" s="57"/>
      <c r="K98" s="65"/>
      <c r="T98" s="57"/>
      <c r="U98" s="57"/>
      <c r="X98" s="57"/>
      <c r="Y98" s="57"/>
    </row>
    <row r="99" spans="2:25" x14ac:dyDescent="0.2">
      <c r="G99" s="57"/>
      <c r="H99" s="57"/>
      <c r="K99" s="65"/>
      <c r="T99" s="57"/>
      <c r="U99" s="57"/>
      <c r="X99" s="57"/>
      <c r="Y99" s="57"/>
    </row>
    <row r="100" spans="2:25" x14ac:dyDescent="0.2">
      <c r="G100" s="57"/>
      <c r="H100" s="57"/>
      <c r="K100" s="65"/>
      <c r="T100" s="57"/>
      <c r="U100" s="57"/>
      <c r="X100" s="57"/>
      <c r="Y100" s="57"/>
    </row>
    <row r="101" spans="2:25" x14ac:dyDescent="0.2">
      <c r="G101" s="57"/>
      <c r="H101" s="57"/>
      <c r="K101" s="65"/>
      <c r="T101" s="57"/>
      <c r="U101" s="57"/>
      <c r="X101" s="57"/>
      <c r="Y101" s="57"/>
    </row>
    <row r="102" spans="2:25" x14ac:dyDescent="0.2">
      <c r="G102" s="57"/>
      <c r="H102" s="57"/>
      <c r="K102" s="65"/>
      <c r="T102" s="57"/>
      <c r="U102" s="57"/>
      <c r="X102" s="57"/>
      <c r="Y102" s="57"/>
    </row>
    <row r="103" spans="2:25" x14ac:dyDescent="0.2">
      <c r="G103" s="57"/>
      <c r="H103" s="57"/>
      <c r="K103" s="65"/>
      <c r="T103" s="57"/>
      <c r="U103" s="57"/>
      <c r="X103" s="57"/>
      <c r="Y103" s="57"/>
    </row>
    <row r="104" spans="2:25" x14ac:dyDescent="0.2">
      <c r="G104" s="57"/>
      <c r="H104" s="57"/>
      <c r="K104" s="65"/>
      <c r="T104" s="57"/>
      <c r="U104" s="57"/>
      <c r="X104" s="57"/>
      <c r="Y104" s="57"/>
    </row>
    <row r="105" spans="2:25" x14ac:dyDescent="0.2">
      <c r="G105" s="57"/>
      <c r="H105" s="57"/>
      <c r="K105" s="65"/>
      <c r="T105" s="57"/>
      <c r="U105" s="57"/>
      <c r="X105" s="57"/>
      <c r="Y105" s="57"/>
    </row>
    <row r="106" spans="2:25" x14ac:dyDescent="0.2">
      <c r="G106" s="57"/>
      <c r="H106" s="57"/>
      <c r="K106" s="65"/>
      <c r="T106" s="57"/>
      <c r="U106" s="57"/>
      <c r="X106" s="57"/>
      <c r="Y106" s="57"/>
    </row>
    <row r="107" spans="2:25" x14ac:dyDescent="0.2">
      <c r="G107" s="57"/>
      <c r="H107" s="57"/>
      <c r="K107" s="65"/>
      <c r="T107" s="57"/>
      <c r="U107" s="57"/>
      <c r="X107" s="57"/>
      <c r="Y107" s="57"/>
    </row>
    <row r="108" spans="2:25" x14ac:dyDescent="0.2">
      <c r="G108" s="57"/>
      <c r="H108" s="57"/>
      <c r="K108" s="65"/>
      <c r="T108" s="57"/>
      <c r="U108" s="57"/>
      <c r="X108" s="57"/>
      <c r="Y108" s="57"/>
    </row>
    <row r="109" spans="2:25" ht="15" x14ac:dyDescent="0.25">
      <c r="C109" s="66">
        <v>120</v>
      </c>
      <c r="D109" s="66">
        <f>C109</f>
        <v>120</v>
      </c>
    </row>
    <row r="110" spans="2:25" x14ac:dyDescent="0.2">
      <c r="C110" t="s">
        <v>168</v>
      </c>
    </row>
    <row r="111" spans="2:25" x14ac:dyDescent="0.2">
      <c r="B111" t="s">
        <v>141</v>
      </c>
      <c r="C111" t="s">
        <v>94</v>
      </c>
      <c r="D111" t="s">
        <v>169</v>
      </c>
      <c r="F111" t="s">
        <v>141</v>
      </c>
      <c r="G111" t="s">
        <v>94</v>
      </c>
      <c r="H111" t="s">
        <v>169</v>
      </c>
      <c r="J111" t="s">
        <v>141</v>
      </c>
      <c r="K111" t="s">
        <v>94</v>
      </c>
      <c r="L111" t="s">
        <v>169</v>
      </c>
      <c r="N111" t="s">
        <v>141</v>
      </c>
      <c r="O111" t="s">
        <v>94</v>
      </c>
      <c r="P111" t="s">
        <v>169</v>
      </c>
      <c r="S111" t="s">
        <v>141</v>
      </c>
      <c r="T111" t="s">
        <v>169</v>
      </c>
      <c r="U111" t="s">
        <v>169</v>
      </c>
    </row>
    <row r="112" spans="2:25" x14ac:dyDescent="0.2">
      <c r="B112" t="s">
        <v>142</v>
      </c>
      <c r="C112" t="s">
        <v>135</v>
      </c>
      <c r="D112" t="s">
        <v>135</v>
      </c>
      <c r="F112" t="s">
        <v>142</v>
      </c>
      <c r="G112" t="str">
        <f t="shared" ref="G112:G117" si="3">C112</f>
        <v>C</v>
      </c>
      <c r="H112" t="str">
        <f t="shared" ref="H112:H117" si="4">D112</f>
        <v>C</v>
      </c>
      <c r="J112" t="s">
        <v>142</v>
      </c>
      <c r="K112" t="str">
        <f t="shared" ref="K112:K117" si="5">G112</f>
        <v>C</v>
      </c>
      <c r="L112" t="str">
        <f t="shared" ref="L112:L117" si="6">H112</f>
        <v>C</v>
      </c>
      <c r="N112" t="s">
        <v>142</v>
      </c>
      <c r="O112" t="str">
        <f t="shared" ref="O112:P114" si="7">K112</f>
        <v>C</v>
      </c>
      <c r="P112" t="str">
        <f t="shared" si="7"/>
        <v>C</v>
      </c>
      <c r="S112" t="s">
        <v>142</v>
      </c>
      <c r="T112" t="s">
        <v>135</v>
      </c>
      <c r="U112" t="s">
        <v>135</v>
      </c>
    </row>
    <row r="113" spans="2:21" x14ac:dyDescent="0.2">
      <c r="B113" t="s">
        <v>63</v>
      </c>
      <c r="C113" s="61">
        <v>40246</v>
      </c>
      <c r="D113" s="61">
        <v>40246</v>
      </c>
      <c r="F113" t="s">
        <v>63</v>
      </c>
      <c r="G113" s="61">
        <f>C113</f>
        <v>40246</v>
      </c>
      <c r="H113" s="61">
        <f>D113</f>
        <v>40246</v>
      </c>
      <c r="J113" t="s">
        <v>63</v>
      </c>
      <c r="K113" s="61">
        <f t="shared" si="5"/>
        <v>40246</v>
      </c>
      <c r="L113" s="61">
        <f>H113</f>
        <v>40246</v>
      </c>
      <c r="N113" t="s">
        <v>63</v>
      </c>
      <c r="O113" s="61">
        <f t="shared" si="7"/>
        <v>40246</v>
      </c>
      <c r="P113" s="61">
        <f t="shared" si="7"/>
        <v>40246</v>
      </c>
      <c r="S113" t="s">
        <v>63</v>
      </c>
      <c r="T113" s="61">
        <f>G113</f>
        <v>40246</v>
      </c>
      <c r="U113" s="61">
        <f>T113</f>
        <v>40246</v>
      </c>
    </row>
    <row r="114" spans="2:21" x14ac:dyDescent="0.2">
      <c r="B114" t="s">
        <v>64</v>
      </c>
      <c r="C114" s="61">
        <f>C113+C109</f>
        <v>40366</v>
      </c>
      <c r="D114" s="61">
        <f>D113+D109</f>
        <v>40366</v>
      </c>
      <c r="F114" t="s">
        <v>64</v>
      </c>
      <c r="G114" s="61">
        <f>C114</f>
        <v>40366</v>
      </c>
      <c r="H114" s="61">
        <f>D114</f>
        <v>40366</v>
      </c>
      <c r="J114" t="s">
        <v>64</v>
      </c>
      <c r="K114" s="61">
        <f t="shared" si="5"/>
        <v>40366</v>
      </c>
      <c r="L114" s="61">
        <f>H114</f>
        <v>40366</v>
      </c>
      <c r="N114" t="s">
        <v>64</v>
      </c>
      <c r="O114" s="61">
        <f t="shared" si="7"/>
        <v>40366</v>
      </c>
      <c r="P114" s="61">
        <f t="shared" si="7"/>
        <v>40366</v>
      </c>
      <c r="S114" t="s">
        <v>64</v>
      </c>
      <c r="T114" s="61">
        <f>G114</f>
        <v>40366</v>
      </c>
      <c r="U114" s="61">
        <f>T114</f>
        <v>40366</v>
      </c>
    </row>
    <row r="115" spans="2:21" x14ac:dyDescent="0.2">
      <c r="B115" t="s">
        <v>65</v>
      </c>
      <c r="C115" s="62">
        <v>1.25</v>
      </c>
      <c r="D115" s="62">
        <v>1.6</v>
      </c>
      <c r="F115" t="s">
        <v>65</v>
      </c>
      <c r="G115" s="62">
        <f t="shared" si="3"/>
        <v>1.25</v>
      </c>
      <c r="H115" s="62">
        <f t="shared" si="4"/>
        <v>1.6</v>
      </c>
      <c r="J115" t="s">
        <v>65</v>
      </c>
      <c r="K115" s="62">
        <f t="shared" si="5"/>
        <v>1.25</v>
      </c>
      <c r="L115" s="62">
        <f t="shared" si="6"/>
        <v>1.6</v>
      </c>
      <c r="N115" t="s">
        <v>65</v>
      </c>
      <c r="O115" s="62">
        <f t="shared" ref="O115:P117" si="8">K115</f>
        <v>1.25</v>
      </c>
      <c r="P115" s="62">
        <f t="shared" si="8"/>
        <v>1.6</v>
      </c>
      <c r="S115" t="s">
        <v>65</v>
      </c>
      <c r="T115" s="62">
        <v>1.25</v>
      </c>
      <c r="U115" s="62">
        <f>T115</f>
        <v>1.25</v>
      </c>
    </row>
    <row r="116" spans="2:21" x14ac:dyDescent="0.2">
      <c r="B116" t="s">
        <v>66</v>
      </c>
      <c r="C116" s="62">
        <f>C115</f>
        <v>1.25</v>
      </c>
      <c r="D116" s="62">
        <f>D115</f>
        <v>1.6</v>
      </c>
      <c r="F116" t="s">
        <v>66</v>
      </c>
      <c r="G116" s="62">
        <f t="shared" si="3"/>
        <v>1.25</v>
      </c>
      <c r="H116" s="62">
        <f t="shared" si="4"/>
        <v>1.6</v>
      </c>
      <c r="J116" t="s">
        <v>66</v>
      </c>
      <c r="K116" s="62">
        <f t="shared" si="5"/>
        <v>1.25</v>
      </c>
      <c r="L116" s="62">
        <f t="shared" si="6"/>
        <v>1.6</v>
      </c>
      <c r="N116" t="s">
        <v>66</v>
      </c>
      <c r="O116" s="62">
        <f t="shared" si="8"/>
        <v>1.25</v>
      </c>
      <c r="P116" s="62">
        <f t="shared" si="8"/>
        <v>1.6</v>
      </c>
      <c r="S116" t="s">
        <v>66</v>
      </c>
      <c r="T116" s="62">
        <v>1.25</v>
      </c>
      <c r="U116" s="62">
        <f>T116+G128</f>
        <v>1.2565427990323776</v>
      </c>
    </row>
    <row r="117" spans="2:21" x14ac:dyDescent="0.2">
      <c r="B117" t="s">
        <v>67</v>
      </c>
      <c r="C117" s="62">
        <f>C116</f>
        <v>1.25</v>
      </c>
      <c r="D117" s="62">
        <f>D116</f>
        <v>1.6</v>
      </c>
      <c r="F117" t="s">
        <v>67</v>
      </c>
      <c r="G117" s="62">
        <f t="shared" si="3"/>
        <v>1.25</v>
      </c>
      <c r="H117" s="62">
        <f t="shared" si="4"/>
        <v>1.6</v>
      </c>
      <c r="J117" t="s">
        <v>67</v>
      </c>
      <c r="K117" s="62">
        <f t="shared" si="5"/>
        <v>1.25</v>
      </c>
      <c r="L117" s="62">
        <f t="shared" si="6"/>
        <v>1.6</v>
      </c>
      <c r="N117" t="s">
        <v>67</v>
      </c>
      <c r="O117" s="62">
        <f t="shared" si="8"/>
        <v>1.25</v>
      </c>
      <c r="P117" s="62">
        <f t="shared" si="8"/>
        <v>1.6</v>
      </c>
      <c r="S117" t="s">
        <v>67</v>
      </c>
      <c r="T117" s="62">
        <f>T116</f>
        <v>1.25</v>
      </c>
      <c r="U117" s="62">
        <f>U116</f>
        <v>1.2565427990323776</v>
      </c>
    </row>
    <row r="118" spans="2:21" x14ac:dyDescent="0.2">
      <c r="B118" t="s">
        <v>143</v>
      </c>
      <c r="C118">
        <f>EXP($A$40)-1</f>
        <v>0</v>
      </c>
      <c r="D118">
        <f>EXP($A$40)-1</f>
        <v>0</v>
      </c>
      <c r="F118" t="s">
        <v>143</v>
      </c>
      <c r="G118">
        <f>EXP($A$40)-1</f>
        <v>0</v>
      </c>
      <c r="H118">
        <f>EXP($A$40)-1</f>
        <v>0</v>
      </c>
      <c r="J118" t="s">
        <v>143</v>
      </c>
      <c r="K118">
        <f>EXP($A$40)-1</f>
        <v>0</v>
      </c>
      <c r="L118">
        <f>EXP($A$40)-1</f>
        <v>0</v>
      </c>
      <c r="N118" t="s">
        <v>143</v>
      </c>
      <c r="O118">
        <f>EXP($A$40)-1</f>
        <v>0</v>
      </c>
      <c r="P118">
        <f>EXP($A$40)-1</f>
        <v>0</v>
      </c>
      <c r="S118" t="s">
        <v>143</v>
      </c>
      <c r="T118">
        <f>EXP($A$40)-1</f>
        <v>0</v>
      </c>
      <c r="U118">
        <f>EXP($A$40)-1</f>
        <v>0</v>
      </c>
    </row>
    <row r="119" spans="2:21" x14ac:dyDescent="0.2">
      <c r="B119" t="s">
        <v>144</v>
      </c>
      <c r="C119" t="s">
        <v>53</v>
      </c>
      <c r="D119" t="s">
        <v>53</v>
      </c>
      <c r="F119" t="s">
        <v>144</v>
      </c>
      <c r="G119" t="s">
        <v>53</v>
      </c>
      <c r="H119" t="s">
        <v>53</v>
      </c>
      <c r="J119" t="s">
        <v>144</v>
      </c>
      <c r="K119" t="s">
        <v>53</v>
      </c>
      <c r="L119" t="s">
        <v>53</v>
      </c>
      <c r="N119" t="s">
        <v>144</v>
      </c>
      <c r="O119" t="s">
        <v>53</v>
      </c>
      <c r="P119" t="s">
        <v>53</v>
      </c>
      <c r="S119" t="s">
        <v>144</v>
      </c>
      <c r="T119" t="s">
        <v>53</v>
      </c>
      <c r="U119" t="s">
        <v>53</v>
      </c>
    </row>
    <row r="120" spans="2:21" x14ac:dyDescent="0.2">
      <c r="B120" t="s">
        <v>145</v>
      </c>
      <c r="C120" s="58">
        <v>0.1</v>
      </c>
      <c r="D120" s="58">
        <v>0.1</v>
      </c>
      <c r="F120" t="s">
        <v>145</v>
      </c>
      <c r="G120" s="58">
        <f>C120</f>
        <v>0.1</v>
      </c>
      <c r="H120" s="58">
        <f>D120</f>
        <v>0.1</v>
      </c>
      <c r="J120" t="s">
        <v>145</v>
      </c>
      <c r="K120" s="58">
        <f>G120</f>
        <v>0.1</v>
      </c>
      <c r="L120" s="58">
        <f>H120</f>
        <v>0.1</v>
      </c>
      <c r="N120" t="s">
        <v>145</v>
      </c>
      <c r="O120" s="58">
        <f>K120</f>
        <v>0.1</v>
      </c>
      <c r="P120" s="58">
        <f>L120</f>
        <v>0.1</v>
      </c>
      <c r="S120" t="s">
        <v>145</v>
      </c>
      <c r="T120" s="58">
        <v>0.1</v>
      </c>
      <c r="U120" s="58">
        <v>0.1</v>
      </c>
    </row>
    <row r="121" spans="2:21" x14ac:dyDescent="0.2">
      <c r="B121" t="s">
        <v>146</v>
      </c>
      <c r="C121" t="s">
        <v>137</v>
      </c>
      <c r="D121" t="s">
        <v>137</v>
      </c>
      <c r="F121" t="s">
        <v>146</v>
      </c>
      <c r="G121" t="s">
        <v>149</v>
      </c>
      <c r="H121" t="s">
        <v>149</v>
      </c>
      <c r="J121" t="s">
        <v>146</v>
      </c>
      <c r="K121" t="s">
        <v>170</v>
      </c>
      <c r="L121" t="str">
        <f>K121</f>
        <v>THETA</v>
      </c>
      <c r="N121" t="s">
        <v>146</v>
      </c>
      <c r="O121" t="s">
        <v>158</v>
      </c>
      <c r="P121" t="s">
        <v>158</v>
      </c>
      <c r="S121" t="s">
        <v>146</v>
      </c>
      <c r="T121" t="s">
        <v>138</v>
      </c>
      <c r="U121" t="s">
        <v>138</v>
      </c>
    </row>
    <row r="122" spans="2:21" x14ac:dyDescent="0.2">
      <c r="B122" t="s">
        <v>147</v>
      </c>
      <c r="C122" t="s">
        <v>148</v>
      </c>
      <c r="D122" t="s">
        <v>148</v>
      </c>
      <c r="F122" t="s">
        <v>147</v>
      </c>
      <c r="G122" t="s">
        <v>148</v>
      </c>
      <c r="H122" t="s">
        <v>148</v>
      </c>
      <c r="J122" t="s">
        <v>147</v>
      </c>
      <c r="K122" t="str">
        <f>G122</f>
        <v>RHS</v>
      </c>
      <c r="L122" t="str">
        <f>H122</f>
        <v>RHS</v>
      </c>
      <c r="N122" t="s">
        <v>147</v>
      </c>
      <c r="O122" t="str">
        <f>K122</f>
        <v>RHS</v>
      </c>
      <c r="P122" t="str">
        <f>L122</f>
        <v>RHS</v>
      </c>
      <c r="S122" t="s">
        <v>147</v>
      </c>
      <c r="T122" t="s">
        <v>148</v>
      </c>
      <c r="U122" t="s">
        <v>148</v>
      </c>
    </row>
    <row r="123" spans="2:21" x14ac:dyDescent="0.2">
      <c r="B123" t="s">
        <v>137</v>
      </c>
      <c r="C123" s="57">
        <f>Vanilla(C111,C112,C113,C114,C115,C116,C117,C118,C119,C120,C121,C122)</f>
        <v>2.8589513684985635E-2</v>
      </c>
      <c r="D123" s="57">
        <f>Vanilla(D111,D112,D113,D114,D115,D116,D117,D118,D119,D120,D121,D122)</f>
        <v>3.6594577516781523E-2</v>
      </c>
      <c r="F123" t="s">
        <v>149</v>
      </c>
      <c r="G123" s="57">
        <f>Vanilla(G111,G112,G113,G114,G115,G116,G117,G118,G119,G120,G121,G122)</f>
        <v>6.9548440769774442E-2</v>
      </c>
      <c r="H123" s="63">
        <f>Vanilla(H111,H112,H113,H114,H115,H116,H117,H118,H119,H120,H121,H122)</f>
        <v>6.9548440769774442E-2</v>
      </c>
      <c r="J123" t="s">
        <v>132</v>
      </c>
      <c r="K123" s="59">
        <f>Vanilla(K111,K112,K113,K114,K115,K116,K117,K118,K119,K120,K121,K122)</f>
        <v>-1.1933948482689694E-4</v>
      </c>
      <c r="L123" s="59">
        <f>Vanilla(L111,L112,L113,L114,L115,L116,L117,L118,L119,L120,L121,L122)</f>
        <v>-1.5275454057839255E-4</v>
      </c>
      <c r="N123" t="s">
        <v>158</v>
      </c>
      <c r="O123" s="59">
        <f>Vanilla(O111,O112,O113,O114,O115,O116,O117,O118,O119,O120,O121,O122)</f>
        <v>2.8581551001277167E-3</v>
      </c>
      <c r="P123" s="59">
        <f>Vanilla(P111,P112,P113,P114,P115,P116,P117,P118,P119,P120,P121,P122)</f>
        <v>3.6584385281634773E-3</v>
      </c>
      <c r="S123" t="s">
        <v>138</v>
      </c>
      <c r="T123" s="58">
        <f>Vanilla(T111,T112,T113,T114,T115,T116,T117,T118,T119,T120,T121,T122)</f>
        <v>0.51143580547399425</v>
      </c>
      <c r="U123" s="58">
        <f>Vanilla(U111,U112,U113,U114,U115,U116,U117,U118,U119,U120,U121,U122)</f>
        <v>0.54764682341067739</v>
      </c>
    </row>
    <row r="124" spans="2:21" x14ac:dyDescent="0.2">
      <c r="B124" t="s">
        <v>166</v>
      </c>
      <c r="C124" s="65">
        <v>10000000</v>
      </c>
      <c r="D124" s="65">
        <f>-C124/B125</f>
        <v>-7812500.0000000186</v>
      </c>
      <c r="F124" t="s">
        <v>166</v>
      </c>
      <c r="G124" s="65">
        <v>10000000</v>
      </c>
      <c r="H124" s="65">
        <f>-G124/B125</f>
        <v>-7812500.0000000186</v>
      </c>
      <c r="J124" t="s">
        <v>166</v>
      </c>
      <c r="K124" s="65">
        <v>10000000</v>
      </c>
      <c r="L124" s="65">
        <f>-K124/J125</f>
        <v>-7812500.000001817</v>
      </c>
      <c r="N124" t="s">
        <v>166</v>
      </c>
      <c r="O124" s="65">
        <v>10000000</v>
      </c>
      <c r="P124" s="65">
        <f>-O124/N125</f>
        <v>-7812500</v>
      </c>
      <c r="S124" t="s">
        <v>166</v>
      </c>
      <c r="T124" s="65">
        <v>10000000</v>
      </c>
      <c r="U124" s="65">
        <f>T124</f>
        <v>10000000</v>
      </c>
    </row>
    <row r="125" spans="2:21" x14ac:dyDescent="0.2">
      <c r="B125">
        <f>D123/C123</f>
        <v>1.2799999999999969</v>
      </c>
      <c r="C125" s="65">
        <f>C123*C124</f>
        <v>285895.13684985635</v>
      </c>
      <c r="D125" s="65">
        <f>D123*D124</f>
        <v>-285895.13684985635</v>
      </c>
      <c r="F125">
        <f>H123/G123</f>
        <v>1</v>
      </c>
      <c r="H125" s="65">
        <f>H123*H124</f>
        <v>-543347.19351386407</v>
      </c>
      <c r="J125" s="57">
        <f>L123/K123</f>
        <v>1.2799999999997023</v>
      </c>
      <c r="K125" s="65">
        <f>K123*K124</f>
        <v>-1193.3948482689693</v>
      </c>
      <c r="L125" s="65">
        <f>L123*L124</f>
        <v>1193.3948482689693</v>
      </c>
      <c r="N125">
        <f>P123/O123</f>
        <v>1.28</v>
      </c>
      <c r="O125" s="65">
        <f>O123*O124</f>
        <v>28581.551001277167</v>
      </c>
      <c r="P125" s="65">
        <f>P123*P124</f>
        <v>-28581.551001277167</v>
      </c>
      <c r="T125" s="65">
        <f>T123*T124</f>
        <v>5114358.0547399428</v>
      </c>
      <c r="U125" s="65">
        <f>U123*U124</f>
        <v>5476468.2341067735</v>
      </c>
    </row>
    <row r="126" spans="2:21" x14ac:dyDescent="0.2">
      <c r="D126" s="65">
        <f>SUM(C125:E125)</f>
        <v>0</v>
      </c>
      <c r="F126" t="s">
        <v>175</v>
      </c>
      <c r="G126" s="65">
        <f>G123*G124</f>
        <v>695484.40769774443</v>
      </c>
      <c r="H126" s="65">
        <f>H123*H124</f>
        <v>-543347.19351386407</v>
      </c>
      <c r="L126" s="65">
        <f>SUM(K125:O125)</f>
        <v>28582.831001277165</v>
      </c>
      <c r="P126" s="65">
        <f>SUM(O125:S125)</f>
        <v>0</v>
      </c>
      <c r="U126" s="65">
        <f>U125-T125</f>
        <v>362110.17936683074</v>
      </c>
    </row>
    <row r="127" spans="2:21" x14ac:dyDescent="0.2">
      <c r="F127" t="s">
        <v>176</v>
      </c>
      <c r="G127" s="57">
        <f>G128/(0.01*G115)*G126</f>
        <v>364033.17677748483</v>
      </c>
      <c r="H127" s="57">
        <f>H128/(0.01*H115)*H126</f>
        <v>-284400.91935741075</v>
      </c>
    </row>
    <row r="128" spans="2:21" x14ac:dyDescent="0.2">
      <c r="F128" t="s">
        <v>171</v>
      </c>
      <c r="G128">
        <f>G115*G120/SQRT(365)</f>
        <v>6.5427990323776719E-3</v>
      </c>
      <c r="H128">
        <f>H115*H120/SQRT(365)</f>
        <v>8.3747827614434212E-3</v>
      </c>
      <c r="S128" t="s">
        <v>171</v>
      </c>
      <c r="T128">
        <f>T115*T120/SQRT(365)</f>
        <v>6.5427990323776719E-3</v>
      </c>
    </row>
    <row r="129" spans="2:20" x14ac:dyDescent="0.2">
      <c r="F129" t="s">
        <v>177</v>
      </c>
      <c r="G129" s="57">
        <f>G128/2*G127</f>
        <v>1190.8979583865489</v>
      </c>
      <c r="H129" s="57">
        <f>H128/2*H127</f>
        <v>-1190.8979583865521</v>
      </c>
      <c r="S129" t="s">
        <v>172</v>
      </c>
      <c r="T129" s="57">
        <f>U126/2*(U116-T116)</f>
        <v>1184.6070655876977</v>
      </c>
    </row>
    <row r="131" spans="2:20" x14ac:dyDescent="0.2">
      <c r="B131" t="s">
        <v>141</v>
      </c>
      <c r="C131" t="s">
        <v>94</v>
      </c>
      <c r="D131" t="s">
        <v>94</v>
      </c>
    </row>
    <row r="132" spans="2:20" x14ac:dyDescent="0.2">
      <c r="B132" t="s">
        <v>142</v>
      </c>
      <c r="C132" t="s">
        <v>135</v>
      </c>
      <c r="D132" t="s">
        <v>135</v>
      </c>
    </row>
    <row r="133" spans="2:20" x14ac:dyDescent="0.2">
      <c r="B133" t="s">
        <v>63</v>
      </c>
      <c r="C133" s="61">
        <v>41343</v>
      </c>
      <c r="D133" s="61">
        <v>40246</v>
      </c>
    </row>
    <row r="134" spans="2:20" x14ac:dyDescent="0.2">
      <c r="B134" t="s">
        <v>64</v>
      </c>
      <c r="C134" s="61">
        <f>C133+30</f>
        <v>41373</v>
      </c>
      <c r="D134" s="61">
        <f>D133+31+31</f>
        <v>40308</v>
      </c>
    </row>
    <row r="135" spans="2:20" x14ac:dyDescent="0.2">
      <c r="B135" t="s">
        <v>65</v>
      </c>
      <c r="C135" s="62">
        <v>1.25</v>
      </c>
      <c r="D135" s="62">
        <v>1.25</v>
      </c>
    </row>
    <row r="136" spans="2:20" x14ac:dyDescent="0.2">
      <c r="B136" t="s">
        <v>66</v>
      </c>
      <c r="C136" s="62">
        <v>1.25</v>
      </c>
      <c r="D136" s="62">
        <v>1.25</v>
      </c>
    </row>
    <row r="137" spans="2:20" x14ac:dyDescent="0.2">
      <c r="B137" t="s">
        <v>67</v>
      </c>
      <c r="C137" s="62">
        <v>1.25</v>
      </c>
      <c r="D137" s="62">
        <v>1.25</v>
      </c>
    </row>
    <row r="138" spans="2:20" x14ac:dyDescent="0.2">
      <c r="B138" t="s">
        <v>143</v>
      </c>
      <c r="C138">
        <f>EXP($A$40)-1</f>
        <v>0</v>
      </c>
      <c r="D138">
        <f>EXP($A$40)-1</f>
        <v>0</v>
      </c>
    </row>
    <row r="139" spans="2:20" x14ac:dyDescent="0.2">
      <c r="B139" t="s">
        <v>144</v>
      </c>
      <c r="C139" t="s">
        <v>53</v>
      </c>
      <c r="D139" t="s">
        <v>53</v>
      </c>
    </row>
    <row r="140" spans="2:20" x14ac:dyDescent="0.2">
      <c r="B140" t="s">
        <v>145</v>
      </c>
      <c r="C140" s="58">
        <v>0.1</v>
      </c>
      <c r="D140" s="58">
        <v>0.12</v>
      </c>
    </row>
    <row r="141" spans="2:20" x14ac:dyDescent="0.2">
      <c r="B141" t="s">
        <v>146</v>
      </c>
      <c r="C141" t="s">
        <v>137</v>
      </c>
      <c r="D141" t="s">
        <v>137</v>
      </c>
    </row>
    <row r="142" spans="2:20" x14ac:dyDescent="0.2">
      <c r="B142" t="s">
        <v>147</v>
      </c>
      <c r="C142" t="s">
        <v>148</v>
      </c>
      <c r="D142" t="s">
        <v>148</v>
      </c>
    </row>
    <row r="143" spans="2:20" x14ac:dyDescent="0.2">
      <c r="B143" t="s">
        <v>137</v>
      </c>
      <c r="C143" s="57">
        <f>Vanilla(C131,C132,C133,C134,C135,C136,C137,C138,C139,C140,C141,C142)</f>
        <v>1.4296238838293451E-2</v>
      </c>
      <c r="D143" s="57">
        <f>Vanilla(D131,D132,D133,D134,D135,D136,D137,D138,D139,D140,D141,D142)</f>
        <v>2.4660879955088699E-2</v>
      </c>
    </row>
    <row r="144" spans="2:20" x14ac:dyDescent="0.2">
      <c r="B144" t="s">
        <v>166</v>
      </c>
      <c r="C144" s="65">
        <v>10000000</v>
      </c>
      <c r="D144" s="65">
        <f>-C144/B145</f>
        <v>-5797132.4885118166</v>
      </c>
    </row>
    <row r="145" spans="2:4" x14ac:dyDescent="0.2">
      <c r="B145">
        <f>D143/C143</f>
        <v>1.7249907639366551</v>
      </c>
      <c r="C145" s="65">
        <f>C143*C144</f>
        <v>142962.3883829345</v>
      </c>
      <c r="D145" s="65">
        <f>D143*D144</f>
        <v>-142962.38838293453</v>
      </c>
    </row>
    <row r="146" spans="2:4" x14ac:dyDescent="0.2">
      <c r="C146" s="65">
        <f>C145-C69</f>
        <v>-357037.6116170655</v>
      </c>
      <c r="D146" s="65">
        <f>SUM(C145:E145)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7"/>
  <dimension ref="B2:N67"/>
  <sheetViews>
    <sheetView topLeftCell="A4" workbookViewId="0">
      <selection activeCell="F37" sqref="F37"/>
    </sheetView>
  </sheetViews>
  <sheetFormatPr defaultRowHeight="12.75" x14ac:dyDescent="0.2"/>
  <cols>
    <col min="2" max="2" width="13.5703125" bestFit="1" customWidth="1"/>
    <col min="3" max="3" width="9.7109375" bestFit="1" customWidth="1"/>
    <col min="7" max="7" width="12.42578125" bestFit="1" customWidth="1"/>
    <col min="8" max="8" width="11.28515625" bestFit="1" customWidth="1"/>
    <col min="11" max="11" width="9" bestFit="1" customWidth="1"/>
    <col min="12" max="12" width="20.5703125" bestFit="1" customWidth="1"/>
  </cols>
  <sheetData>
    <row r="2" spans="2:12" x14ac:dyDescent="0.2">
      <c r="C2" t="s">
        <v>95</v>
      </c>
      <c r="G2" t="s">
        <v>188</v>
      </c>
      <c r="H2">
        <v>108</v>
      </c>
    </row>
    <row r="3" spans="2:12" x14ac:dyDescent="0.2">
      <c r="B3" t="s">
        <v>142</v>
      </c>
      <c r="C3" t="s">
        <v>186</v>
      </c>
      <c r="H3" t="s">
        <v>95</v>
      </c>
    </row>
    <row r="4" spans="2:12" x14ac:dyDescent="0.2">
      <c r="B4" t="s">
        <v>63</v>
      </c>
      <c r="C4" s="61">
        <v>41340</v>
      </c>
      <c r="D4" s="61">
        <f>WORKDAY(C4,2)</f>
        <v>41344</v>
      </c>
      <c r="G4" t="s">
        <v>142</v>
      </c>
      <c r="H4" t="s">
        <v>186</v>
      </c>
    </row>
    <row r="5" spans="2:12" x14ac:dyDescent="0.2">
      <c r="B5" t="s">
        <v>64</v>
      </c>
      <c r="C5" s="61">
        <v>41430</v>
      </c>
      <c r="D5" s="61">
        <f>WORKDAY(C5,2)</f>
        <v>41432</v>
      </c>
      <c r="G5" t="s">
        <v>63</v>
      </c>
      <c r="H5" s="61">
        <v>41340</v>
      </c>
    </row>
    <row r="6" spans="2:12" x14ac:dyDescent="0.2">
      <c r="B6" t="s">
        <v>65</v>
      </c>
      <c r="C6" s="57">
        <f>StrikeImpliedByDelta(C3,(C5-C4)/365,C8,1/(1+C9*(D5-D4)/365),1/(1+C9*(D5-D4)/365),C11,0.25,C12)</f>
        <v>112.85995216702129</v>
      </c>
      <c r="G6" t="s">
        <v>64</v>
      </c>
      <c r="H6" s="61">
        <f>H5+30*3</f>
        <v>41430</v>
      </c>
    </row>
    <row r="7" spans="2:12" x14ac:dyDescent="0.2">
      <c r="B7" t="s">
        <v>66</v>
      </c>
      <c r="C7" s="57">
        <v>108</v>
      </c>
      <c r="G7" t="s">
        <v>65</v>
      </c>
      <c r="H7" s="57">
        <v>0</v>
      </c>
    </row>
    <row r="8" spans="2:12" x14ac:dyDescent="0.2">
      <c r="B8" t="s">
        <v>67</v>
      </c>
      <c r="C8" s="57">
        <v>108</v>
      </c>
      <c r="G8" t="s">
        <v>224</v>
      </c>
      <c r="H8" s="57">
        <v>120</v>
      </c>
      <c r="K8" t="s">
        <v>217</v>
      </c>
      <c r="L8" s="79">
        <v>0.13</v>
      </c>
    </row>
    <row r="9" spans="2:12" x14ac:dyDescent="0.2">
      <c r="B9" t="s">
        <v>143</v>
      </c>
      <c r="C9" s="55">
        <v>0.05</v>
      </c>
      <c r="G9" t="s">
        <v>225</v>
      </c>
      <c r="H9" s="57">
        <v>100</v>
      </c>
      <c r="K9" t="s">
        <v>70</v>
      </c>
      <c r="L9" s="80">
        <v>0</v>
      </c>
    </row>
    <row r="10" spans="2:12" x14ac:dyDescent="0.2">
      <c r="B10" t="s">
        <v>144</v>
      </c>
      <c r="C10" t="s">
        <v>53</v>
      </c>
      <c r="G10" t="s">
        <v>66</v>
      </c>
      <c r="H10" s="57">
        <v>110</v>
      </c>
      <c r="K10" t="s">
        <v>71</v>
      </c>
      <c r="L10" s="81">
        <v>3.0000000000000001E-3</v>
      </c>
    </row>
    <row r="11" spans="2:12" x14ac:dyDescent="0.2">
      <c r="B11" t="s">
        <v>145</v>
      </c>
      <c r="C11" s="54">
        <f>L11</f>
        <v>0.13300000000000001</v>
      </c>
      <c r="G11" t="s">
        <v>67</v>
      </c>
      <c r="H11" s="57">
        <f>ForwardFromDepos(H3,H10,H12,H14,WORKDAY(H5,2),WORKDAY(H6,2))</f>
        <v>110</v>
      </c>
      <c r="K11" t="s">
        <v>218</v>
      </c>
      <c r="L11" s="71">
        <f>L8+L9/2+L10</f>
        <v>0.13300000000000001</v>
      </c>
    </row>
    <row r="12" spans="2:12" x14ac:dyDescent="0.2">
      <c r="B12" t="s">
        <v>147</v>
      </c>
      <c r="C12" t="s">
        <v>159</v>
      </c>
      <c r="G12" t="s">
        <v>143</v>
      </c>
      <c r="H12" s="55">
        <v>0.05</v>
      </c>
      <c r="K12" t="s">
        <v>219</v>
      </c>
      <c r="L12" s="71">
        <f>L11-L9</f>
        <v>0.13300000000000001</v>
      </c>
    </row>
    <row r="13" spans="2:12" x14ac:dyDescent="0.2">
      <c r="B13" t="s">
        <v>138</v>
      </c>
      <c r="C13" s="58">
        <f>Vanilla(C2,C3,C4,C5,C6,C7,C8,C9,C10,C11,$B13,C12)</f>
        <v>0.24995870818670102</v>
      </c>
      <c r="G13" t="s">
        <v>144</v>
      </c>
      <c r="H13" s="74" t="s">
        <v>53</v>
      </c>
    </row>
    <row r="14" spans="2:12" x14ac:dyDescent="0.2">
      <c r="B14" t="s">
        <v>149</v>
      </c>
      <c r="C14" s="58">
        <f>Vanilla(C2,C3,C4,C5,C6,C7,C8,C9,C10,C11,$B14,C12)</f>
        <v>4.8828397874285251E-2</v>
      </c>
      <c r="G14" t="s">
        <v>215</v>
      </c>
      <c r="H14" s="75">
        <f>H12</f>
        <v>0.05</v>
      </c>
    </row>
    <row r="15" spans="2:12" x14ac:dyDescent="0.2">
      <c r="B15" t="s">
        <v>137</v>
      </c>
      <c r="C15" s="58">
        <f>Vanilla(C2,C3,C4,C5,C6,C7,C8,C9,C10,C11,$B15,C12)</f>
        <v>1.0079341192014599E-2</v>
      </c>
      <c r="G15" t="s">
        <v>145</v>
      </c>
      <c r="H15" s="76">
        <f>L8</f>
        <v>0.13</v>
      </c>
    </row>
    <row r="16" spans="2:12" x14ac:dyDescent="0.2">
      <c r="B16" s="65">
        <v>50000000</v>
      </c>
      <c r="C16" s="69">
        <f>C14*$B16</f>
        <v>2441419.8937142626</v>
      </c>
      <c r="G16" t="s">
        <v>146</v>
      </c>
      <c r="H16" s="74" t="s">
        <v>138</v>
      </c>
    </row>
    <row r="17" spans="2:11" x14ac:dyDescent="0.2">
      <c r="G17" t="s">
        <v>147</v>
      </c>
      <c r="H17" s="74" t="s">
        <v>81</v>
      </c>
    </row>
    <row r="18" spans="2:11" x14ac:dyDescent="0.2">
      <c r="G18" t="s">
        <v>138</v>
      </c>
      <c r="H18" s="77">
        <f>DNT(H3,H13,H5,H6,H10,H11,H12,H13,H15,H8,H9,G18,H17)</f>
        <v>-1.068910625326736</v>
      </c>
    </row>
    <row r="19" spans="2:11" x14ac:dyDescent="0.2">
      <c r="C19" t="s">
        <v>95</v>
      </c>
      <c r="G19" t="s">
        <v>158</v>
      </c>
      <c r="H19" s="77">
        <f>DNT(H3,H13,H5,H6,H10,H11,H12,H13,H15,H8,H9,G19,H17)</f>
        <v>-6.3015309876868209E-2</v>
      </c>
    </row>
    <row r="20" spans="2:11" x14ac:dyDescent="0.2">
      <c r="B20" t="s">
        <v>142</v>
      </c>
      <c r="C20" t="s">
        <v>189</v>
      </c>
      <c r="G20" t="s">
        <v>157</v>
      </c>
      <c r="H20" s="77">
        <f>volga("DNT",H3,H13,0,H5,H6,0,H10,H11,H14,H13,H15,H8,H9,H10,0,0,0,0,H17)</f>
        <v>1.8110999921994164E-4</v>
      </c>
    </row>
    <row r="21" spans="2:11" x14ac:dyDescent="0.2">
      <c r="B21" t="s">
        <v>63</v>
      </c>
      <c r="C21" s="61">
        <v>41340</v>
      </c>
      <c r="D21" s="61">
        <f>WORKDAY(C21,2)</f>
        <v>41344</v>
      </c>
      <c r="G21" t="s">
        <v>216</v>
      </c>
      <c r="H21" s="77">
        <f>vanna("DNT",H3,H13,0,H5,H6,0,H10,H11,H14,H13,H15,H8,H9,H10,0,0,0,0,H17)</f>
        <v>6.4595358076835474E-2</v>
      </c>
    </row>
    <row r="22" spans="2:11" x14ac:dyDescent="0.2">
      <c r="B22" t="s">
        <v>64</v>
      </c>
      <c r="C22" s="61">
        <v>41430</v>
      </c>
      <c r="D22" s="61">
        <f>WORKDAY(C22,2)</f>
        <v>41432</v>
      </c>
      <c r="G22" t="s">
        <v>149</v>
      </c>
      <c r="H22" s="77">
        <f>DNT(H3,H13,H5,H6,H10,H11,H12,H13,H15,H8,H9,G22,H17)</f>
        <v>-1.9657916114313034</v>
      </c>
    </row>
    <row r="23" spans="2:11" x14ac:dyDescent="0.2">
      <c r="B23" t="s">
        <v>65</v>
      </c>
      <c r="C23" s="57">
        <f>StrikeImpliedByDelta(C20,(C22-C21)/365,C25,1/(1+C26*(D22-D21)/365),1/(1+C26*(D22-D21)/365),C28,0.25,C29)</f>
        <v>103.37278532143917</v>
      </c>
      <c r="G23" t="s">
        <v>137</v>
      </c>
      <c r="H23" s="77">
        <f>DNT(H3,H13,H5,H6,H10,H11,H12,H13,H15,H8,H9,G23,H17)</f>
        <v>0.67302053546426455</v>
      </c>
      <c r="K23" t="e">
        <f>DNT(H3,H13,H5,H6,H10,H11,H12,H13,H15,H8,H9,G23,"% USD",H17)</f>
        <v>#VALUE!</v>
      </c>
    </row>
    <row r="24" spans="2:11" x14ac:dyDescent="0.2">
      <c r="B24" t="s">
        <v>66</v>
      </c>
      <c r="C24" s="62">
        <f>C7</f>
        <v>108</v>
      </c>
      <c r="G24" s="65">
        <v>10000000</v>
      </c>
      <c r="H24" s="78">
        <f>H18*$G24</f>
        <v>-10689106.253267359</v>
      </c>
    </row>
    <row r="25" spans="2:11" x14ac:dyDescent="0.2">
      <c r="B25" t="s">
        <v>67</v>
      </c>
      <c r="C25" s="62">
        <f>C24</f>
        <v>108</v>
      </c>
      <c r="G25" t="s">
        <v>192</v>
      </c>
      <c r="H25" s="78">
        <f>H22*$G24</f>
        <v>-19657916.114313032</v>
      </c>
    </row>
    <row r="26" spans="2:11" x14ac:dyDescent="0.2">
      <c r="B26" t="s">
        <v>143</v>
      </c>
      <c r="C26" s="55">
        <v>0.05</v>
      </c>
    </row>
    <row r="27" spans="2:11" x14ac:dyDescent="0.2">
      <c r="B27" t="s">
        <v>144</v>
      </c>
      <c r="C27" t="s">
        <v>53</v>
      </c>
    </row>
    <row r="28" spans="2:11" x14ac:dyDescent="0.2">
      <c r="B28" t="s">
        <v>145</v>
      </c>
      <c r="C28" s="54">
        <f>L12</f>
        <v>0.13300000000000001</v>
      </c>
      <c r="G28" t="s">
        <v>194</v>
      </c>
      <c r="H28" s="78">
        <f>H25+C36</f>
        <v>-19558393.370485056</v>
      </c>
    </row>
    <row r="29" spans="2:11" x14ac:dyDescent="0.2">
      <c r="B29" t="s">
        <v>147</v>
      </c>
      <c r="C29" t="s">
        <v>159</v>
      </c>
    </row>
    <row r="30" spans="2:11" x14ac:dyDescent="0.2">
      <c r="B30" t="s">
        <v>138</v>
      </c>
      <c r="C30" s="58">
        <f>Vanilla(C19,C20,C21,C22,C23,C24,C25,C26,C27,C28,$B30,C29)</f>
        <v>-0.24995872902110641</v>
      </c>
    </row>
    <row r="31" spans="2:11" x14ac:dyDescent="0.2">
      <c r="B31" t="s">
        <v>149</v>
      </c>
      <c r="C31" s="58">
        <f>Vanilla(C19,C20,C21,C22,C23,C24,C25,C26,C27,C28,$B31,C29)</f>
        <v>4.6837942997725729E-2</v>
      </c>
    </row>
    <row r="32" spans="2:11" x14ac:dyDescent="0.2">
      <c r="B32" t="s">
        <v>137</v>
      </c>
      <c r="C32" s="58">
        <f>Vanilla(C19,C20,C21,C22,C23,C24,C25,C26,C27,C28,$B32,C29)</f>
        <v>9.7019119507083234E-3</v>
      </c>
    </row>
    <row r="33" spans="2:14" x14ac:dyDescent="0.2">
      <c r="B33" s="65">
        <f>-B16</f>
        <v>-50000000</v>
      </c>
      <c r="C33" s="69">
        <f>C31*$B33</f>
        <v>-2341897.1498862864</v>
      </c>
    </row>
    <row r="35" spans="2:14" x14ac:dyDescent="0.2">
      <c r="B35" t="s">
        <v>191</v>
      </c>
      <c r="C35" s="57">
        <f>C7</f>
        <v>108</v>
      </c>
      <c r="L35" s="58">
        <f>OneTouch(H3,H13,H5,H6,H10,H11,H12,H13,H15,H8,H2,G23,H17)</f>
        <v>0.1832911770314522</v>
      </c>
    </row>
    <row r="36" spans="2:14" x14ac:dyDescent="0.2">
      <c r="B36" t="s">
        <v>193</v>
      </c>
      <c r="C36" s="65">
        <f>C16+C33</f>
        <v>99522.743827976286</v>
      </c>
    </row>
    <row r="37" spans="2:14" x14ac:dyDescent="0.2">
      <c r="H37" t="s">
        <v>79</v>
      </c>
    </row>
    <row r="38" spans="2:14" x14ac:dyDescent="0.2">
      <c r="B38" t="s">
        <v>220</v>
      </c>
      <c r="C38" s="59">
        <f t="array" ref="C38:C66">TRANSPOSE(OTCexotics("Vanilla",C2,"USD",C3,C4,C5,C6,C7,C7,1000,0,0,0,C10,C9,C9,C9,C9,L8,L9,L10,C12))</f>
        <v>9.6013946609083342E-3</v>
      </c>
      <c r="D38" s="59">
        <f t="array" ref="D38:D66">TRANSPOSE(OTCexotics("Vanilla",C19,"USD",C20,C21,C22,C23,C24,C24,1000,0,0,0,C27,C26,C26,C26,C26,L8,$L$9,$L$10,C29))</f>
        <v>9.2434244551294377E-3</v>
      </c>
      <c r="G38" t="s">
        <v>220</v>
      </c>
      <c r="H38" s="58">
        <f t="array" ref="H38:H66">TRANSPOSE(OTCexotics(H37,H3,"USD",H4,H5,H6,H7,H10,H2,H8,H9,0,0,0,H12,H14,0,0,L8,L9,L10,H17))</f>
        <v>0.67302053546426455</v>
      </c>
      <c r="M38" s="59">
        <v>3.4898375126544284E-2</v>
      </c>
      <c r="N38" s="72" t="e">
        <f>M38-#REF!</f>
        <v>#REF!</v>
      </c>
    </row>
    <row r="39" spans="2:14" x14ac:dyDescent="0.2">
      <c r="B39" t="s">
        <v>221</v>
      </c>
      <c r="C39" s="59">
        <v>1.0108317319632396E-2</v>
      </c>
      <c r="D39" s="59">
        <v>9.7296340317090738E-3</v>
      </c>
      <c r="G39" t="s">
        <v>221</v>
      </c>
      <c r="H39" s="59">
        <v>0.67355410519980607</v>
      </c>
      <c r="M39" s="59">
        <v>3.6171752563137934E-2</v>
      </c>
    </row>
    <row r="40" spans="2:14" x14ac:dyDescent="0.2">
      <c r="B40" s="64" t="s">
        <v>222</v>
      </c>
      <c r="C40" s="59">
        <v>5.0692265872406134E-4</v>
      </c>
      <c r="D40" s="59">
        <v>4.8620957657963569E-4</v>
      </c>
      <c r="G40" s="64" t="s">
        <v>222</v>
      </c>
      <c r="H40" s="59">
        <v>5.3356973554157135E-4</v>
      </c>
      <c r="L40" s="58">
        <f>H40/M40</f>
        <v>0.41901931054228303</v>
      </c>
      <c r="M40" s="59">
        <v>1.273377436593651E-3</v>
      </c>
    </row>
    <row r="41" spans="2:14" x14ac:dyDescent="0.2">
      <c r="B41" t="s">
        <v>158</v>
      </c>
      <c r="C41" s="59">
        <v>1.5848242750112972E-3</v>
      </c>
      <c r="D41" s="59">
        <v>1.520382192002872E-3</v>
      </c>
      <c r="G41" t="s">
        <v>158</v>
      </c>
      <c r="H41" s="59">
        <v>-6.3015309876868209E-2</v>
      </c>
      <c r="L41" s="58">
        <f>1-L40</f>
        <v>0.58098068945771697</v>
      </c>
      <c r="M41" s="59">
        <v>-2.8145696337174091E-3</v>
      </c>
    </row>
    <row r="42" spans="2:14" x14ac:dyDescent="0.2">
      <c r="B42" t="s">
        <v>157</v>
      </c>
      <c r="C42" s="59">
        <v>5.655324651525958E-5</v>
      </c>
      <c r="D42" s="59">
        <v>5.3694368334477466E-5</v>
      </c>
      <c r="G42" t="s">
        <v>157</v>
      </c>
      <c r="H42" s="59">
        <v>1.8110999921994164E-4</v>
      </c>
      <c r="M42" s="59">
        <v>2.1302581466697661E-4</v>
      </c>
    </row>
    <row r="43" spans="2:14" x14ac:dyDescent="0.2">
      <c r="B43" t="s">
        <v>216</v>
      </c>
      <c r="C43" s="59">
        <v>1.5937732849419239E-2</v>
      </c>
      <c r="D43" s="59">
        <v>-1.672754748095473E-2</v>
      </c>
      <c r="G43" t="s">
        <v>216</v>
      </c>
      <c r="H43" s="59">
        <v>6.4595358076835474E-2</v>
      </c>
      <c r="M43" s="59">
        <v>-1.5241685601566357E-2</v>
      </c>
    </row>
    <row r="44" spans="2:14" x14ac:dyDescent="0.2">
      <c r="B44" t="s">
        <v>8</v>
      </c>
      <c r="C44" s="59">
        <v>9.6013946609083342E-3</v>
      </c>
      <c r="D44" s="59">
        <v>9.2434244551294377E-3</v>
      </c>
      <c r="G44" t="s">
        <v>8</v>
      </c>
      <c r="H44" s="59">
        <v>0</v>
      </c>
      <c r="M44" s="59">
        <v>8.5029801727725909E-2</v>
      </c>
    </row>
    <row r="45" spans="2:14" x14ac:dyDescent="0.2">
      <c r="B45" t="s">
        <v>195</v>
      </c>
      <c r="C45" s="59">
        <v>0</v>
      </c>
      <c r="D45" s="59">
        <v>0</v>
      </c>
      <c r="G45" t="s">
        <v>195</v>
      </c>
      <c r="H45" s="59">
        <v>0.67302053546426455</v>
      </c>
      <c r="M45" s="59">
        <v>0.30047871269047294</v>
      </c>
    </row>
    <row r="46" spans="2:14" x14ac:dyDescent="0.2">
      <c r="B46" t="s">
        <v>196</v>
      </c>
      <c r="C46" s="70">
        <v>103.373651747249</v>
      </c>
      <c r="D46" s="70">
        <v>103.373651747249</v>
      </c>
      <c r="G46" t="s">
        <v>196</v>
      </c>
      <c r="H46" s="70">
        <v>105.28797863145732</v>
      </c>
      <c r="K46" s="73">
        <f>H46-C23</f>
        <v>1.9151933100181537</v>
      </c>
      <c r="M46" s="70">
        <v>101.19674558601801</v>
      </c>
    </row>
    <row r="47" spans="2:14" x14ac:dyDescent="0.2">
      <c r="B47" t="s">
        <v>199</v>
      </c>
      <c r="C47" s="59">
        <v>-1.4640983005217434E-2</v>
      </c>
      <c r="D47" s="59">
        <v>-1.050033515334845</v>
      </c>
      <c r="G47" t="s">
        <v>199</v>
      </c>
      <c r="H47" s="70">
        <v>-1.8206313588476077</v>
      </c>
      <c r="M47" s="70">
        <v>-4.3002376727863068</v>
      </c>
    </row>
    <row r="48" spans="2:14" x14ac:dyDescent="0.2">
      <c r="B48" t="s">
        <v>207</v>
      </c>
      <c r="C48" s="59">
        <v>0.13300000000000001</v>
      </c>
      <c r="D48" s="59">
        <v>0.13300000000000001</v>
      </c>
      <c r="G48" t="s">
        <v>207</v>
      </c>
      <c r="H48" s="59">
        <v>0.13300000000000001</v>
      </c>
      <c r="M48" s="59">
        <v>0.19800000000000001</v>
      </c>
    </row>
    <row r="49" spans="2:13" x14ac:dyDescent="0.2">
      <c r="B49" t="s">
        <v>202</v>
      </c>
      <c r="C49" s="59">
        <v>4.5852888380951834E-4</v>
      </c>
      <c r="D49" s="59">
        <v>4.5852888380951834E-4</v>
      </c>
      <c r="F49" s="59">
        <f>H49/H47</f>
        <v>-2.5185157971781096E-4</v>
      </c>
      <c r="G49" t="s">
        <v>202</v>
      </c>
      <c r="H49" s="59">
        <v>4.5852888380955477E-4</v>
      </c>
      <c r="I49" s="59">
        <f>H47*D40*L40</f>
        <v>-3.7091941433120389E-4</v>
      </c>
      <c r="K49" s="72">
        <f>I49+I56</f>
        <v>-7.2509436236774325E-4</v>
      </c>
      <c r="M49" s="59">
        <v>1.3101786816893217E-3</v>
      </c>
    </row>
    <row r="50" spans="2:13" x14ac:dyDescent="0.2">
      <c r="B50" t="s">
        <v>203</v>
      </c>
      <c r="C50" s="59">
        <v>1.5361635674744092E-3</v>
      </c>
      <c r="D50" s="59">
        <v>1.5361635674744092E-3</v>
      </c>
      <c r="G50" t="s">
        <v>203</v>
      </c>
      <c r="H50" s="59">
        <v>1.5361635674744096E-3</v>
      </c>
      <c r="I50" s="59">
        <f>$H$47*H50</f>
        <v>-2.796787563263123E-3</v>
      </c>
      <c r="K50" s="72">
        <f>H49+H56</f>
        <v>9.3651732179793334E-4</v>
      </c>
      <c r="M50" s="59">
        <v>1.5200546814737065E-3</v>
      </c>
    </row>
    <row r="51" spans="2:13" x14ac:dyDescent="0.2">
      <c r="B51" t="s">
        <v>204</v>
      </c>
      <c r="C51" s="59">
        <v>5.0632305236171515E-5</v>
      </c>
      <c r="D51" s="59">
        <v>5.0632305236171515E-5</v>
      </c>
      <c r="G51" t="s">
        <v>204</v>
      </c>
      <c r="H51" s="59">
        <v>5.0632305236128147E-5</v>
      </c>
      <c r="I51" s="59">
        <f>$H$47*H51</f>
        <v>-9.2182762683638839E-5</v>
      </c>
      <c r="M51" s="59">
        <v>3.3434953133123363E-5</v>
      </c>
    </row>
    <row r="52" spans="2:13" x14ac:dyDescent="0.2">
      <c r="B52" t="s">
        <v>208</v>
      </c>
      <c r="C52" s="59">
        <v>-1.6178711899828002E-2</v>
      </c>
      <c r="D52" s="59">
        <v>-1.6178711899833553E-2</v>
      </c>
      <c r="G52" t="s">
        <v>208</v>
      </c>
      <c r="H52" s="59">
        <v>-1.6178711899839104E-2</v>
      </c>
      <c r="I52" s="59">
        <f>$H$47*H52</f>
        <v>2.945547023060803E-2</v>
      </c>
      <c r="M52" s="59">
        <v>-1.0987223707559224E-2</v>
      </c>
    </row>
    <row r="53" spans="2:13" x14ac:dyDescent="0.2">
      <c r="B53" t="s">
        <v>197</v>
      </c>
      <c r="C53" s="70">
        <v>112.85894481106779</v>
      </c>
      <c r="D53" s="70">
        <v>112.85894481106779</v>
      </c>
      <c r="G53" t="s">
        <v>197</v>
      </c>
      <c r="H53" s="70">
        <v>114.948925270532</v>
      </c>
      <c r="K53" s="73">
        <f>H53-C6</f>
        <v>2.0889731035107104</v>
      </c>
      <c r="M53" s="70">
        <v>115.70131554885084</v>
      </c>
    </row>
    <row r="54" spans="2:13" x14ac:dyDescent="0.2">
      <c r="B54" t="s">
        <v>200</v>
      </c>
      <c r="C54" s="59">
        <v>-1.0464883779071759</v>
      </c>
      <c r="D54" s="59">
        <v>-9.9142164411097911E-3</v>
      </c>
      <c r="G54" t="s">
        <v>200</v>
      </c>
      <c r="H54" s="70">
        <v>-1.6674088295794032</v>
      </c>
      <c r="M54" s="70">
        <v>-2.0116390833662341</v>
      </c>
    </row>
    <row r="55" spans="2:13" x14ac:dyDescent="0.2">
      <c r="B55" t="s">
        <v>207</v>
      </c>
      <c r="C55" s="59">
        <v>0.13300000000000001</v>
      </c>
      <c r="D55" s="59">
        <v>0.13300000000000001</v>
      </c>
      <c r="G55" t="s">
        <v>207</v>
      </c>
      <c r="H55" s="59">
        <v>0.13300000000000001</v>
      </c>
      <c r="M55" s="59">
        <v>0.20800000000000002</v>
      </c>
    </row>
    <row r="56" spans="2:13" x14ac:dyDescent="0.2">
      <c r="B56" t="s">
        <v>209</v>
      </c>
      <c r="C56" s="59">
        <v>4.7798843798834215E-4</v>
      </c>
      <c r="D56" s="59">
        <v>4.7798843798834215E-4</v>
      </c>
      <c r="F56" s="59">
        <f>H56/H54</f>
        <v>-2.8666541133103458E-4</v>
      </c>
      <c r="G56" t="s">
        <v>209</v>
      </c>
      <c r="H56" s="59">
        <v>4.7798843798837858E-4</v>
      </c>
      <c r="I56" s="59">
        <f>H54*C40*L40</f>
        <v>-3.5417494803653937E-4</v>
      </c>
      <c r="J56" s="72">
        <f>I56+I49</f>
        <v>-7.2509436236774325E-4</v>
      </c>
      <c r="M56" s="59">
        <v>-2.5835561182829727E-3</v>
      </c>
    </row>
    <row r="57" spans="2:13" x14ac:dyDescent="0.2">
      <c r="B57" t="s">
        <v>210</v>
      </c>
      <c r="C57" s="59">
        <v>1.6014409806628066E-3</v>
      </c>
      <c r="D57" s="59">
        <v>1.6014409806628066E-3</v>
      </c>
      <c r="G57" t="s">
        <v>210</v>
      </c>
      <c r="H57" s="59">
        <v>1.6014409806628068E-3</v>
      </c>
      <c r="I57" s="59">
        <f>$H$54*H57</f>
        <v>-2.6702568312074624E-3</v>
      </c>
      <c r="M57" s="59">
        <v>1.6196086463458347E-3</v>
      </c>
    </row>
    <row r="58" spans="2:13" x14ac:dyDescent="0.2">
      <c r="B58" t="s">
        <v>205</v>
      </c>
      <c r="C58" s="59">
        <v>5.3332594012259205E-5</v>
      </c>
      <c r="D58" s="59">
        <v>5.3332594012259205E-5</v>
      </c>
      <c r="G58" t="s">
        <v>205</v>
      </c>
      <c r="H58" s="59">
        <v>5.3332594012259205E-5</v>
      </c>
      <c r="I58" s="59">
        <f>$H$54*H58</f>
        <v>-8.8927238160414605E-5</v>
      </c>
      <c r="M58" s="59">
        <v>3.4423456167151367E-5</v>
      </c>
    </row>
    <row r="59" spans="2:13" x14ac:dyDescent="0.2">
      <c r="B59" t="s">
        <v>211</v>
      </c>
      <c r="C59" s="59">
        <v>1.5347600878401479E-2</v>
      </c>
      <c r="D59" s="59">
        <v>1.5347600878423684E-2</v>
      </c>
      <c r="G59" t="s">
        <v>211</v>
      </c>
      <c r="H59" s="59">
        <v>1.5347600878401479E-2</v>
      </c>
      <c r="I59" s="59">
        <f>$H$54*H59</f>
        <v>-2.5590725217507233E-2</v>
      </c>
      <c r="M59" s="59">
        <v>9.6437892760092847E-3</v>
      </c>
    </row>
    <row r="60" spans="2:13" x14ac:dyDescent="0.2">
      <c r="B60" t="s">
        <v>198</v>
      </c>
      <c r="C60" s="70">
        <v>107.77520960610927</v>
      </c>
      <c r="D60" s="70">
        <v>107.77520960610927</v>
      </c>
      <c r="G60" t="s">
        <v>198</v>
      </c>
      <c r="H60" s="70">
        <v>109.77104682103722</v>
      </c>
      <c r="M60" s="70">
        <v>107.46870837116722</v>
      </c>
    </row>
    <row r="61" spans="2:13" x14ac:dyDescent="0.2">
      <c r="B61" t="s">
        <v>201</v>
      </c>
      <c r="C61" s="59">
        <v>5.8144161558696048E-2</v>
      </c>
      <c r="D61" s="59">
        <v>5.5564565839130879E-2</v>
      </c>
      <c r="G61" t="s">
        <v>201</v>
      </c>
      <c r="H61" s="70">
        <v>35.065056301538277</v>
      </c>
      <c r="I61" s="59"/>
      <c r="M61" s="70">
        <v>6.4747262755383934</v>
      </c>
    </row>
    <row r="62" spans="2:13" x14ac:dyDescent="0.2">
      <c r="B62" t="s">
        <v>207</v>
      </c>
      <c r="C62" s="59">
        <v>0.13</v>
      </c>
      <c r="D62" s="59">
        <v>0.13</v>
      </c>
      <c r="G62" t="s">
        <v>207</v>
      </c>
      <c r="H62" s="59">
        <v>0.13</v>
      </c>
      <c r="I62" s="59"/>
      <c r="M62" s="59">
        <v>0.2</v>
      </c>
    </row>
    <row r="63" spans="2:13" x14ac:dyDescent="0.2">
      <c r="B63" t="s">
        <v>212</v>
      </c>
      <c r="C63" s="59">
        <v>0</v>
      </c>
      <c r="D63" s="59">
        <v>0</v>
      </c>
      <c r="G63" t="s">
        <v>212</v>
      </c>
      <c r="H63" s="59">
        <v>0</v>
      </c>
      <c r="I63" s="59">
        <f>$H$61*H63</f>
        <v>0</v>
      </c>
      <c r="J63" s="72">
        <f>I49+I56+I63</f>
        <v>-7.2509436236774325E-4</v>
      </c>
      <c r="M63" s="59">
        <v>0</v>
      </c>
    </row>
    <row r="64" spans="2:13" x14ac:dyDescent="0.2">
      <c r="B64" t="s">
        <v>213</v>
      </c>
      <c r="C64" s="59">
        <v>1.9530085359747307E-3</v>
      </c>
      <c r="D64" s="59">
        <v>1.9530085359747307E-3</v>
      </c>
      <c r="G64" t="s">
        <v>213</v>
      </c>
      <c r="H64" s="59">
        <v>1.953008535974731E-3</v>
      </c>
      <c r="I64" s="59">
        <f>$H$61*H64</f>
        <v>6.848235427133878E-2</v>
      </c>
      <c r="J64" s="72">
        <f>I50+I57+I64</f>
        <v>6.3015309876868195E-2</v>
      </c>
      <c r="K64" s="56">
        <f>J64+H41</f>
        <v>0</v>
      </c>
      <c r="M64" s="59">
        <v>1.9474543873879051E-3</v>
      </c>
    </row>
    <row r="65" spans="2:13" x14ac:dyDescent="0.2">
      <c r="B65" t="s">
        <v>206</v>
      </c>
      <c r="C65" s="59">
        <v>4.6252064678231619E-14</v>
      </c>
      <c r="D65" s="59">
        <v>4.6252064678231619E-14</v>
      </c>
      <c r="G65" t="s">
        <v>206</v>
      </c>
      <c r="H65" s="59">
        <v>4.6317116808580749E-14</v>
      </c>
      <c r="I65" s="59">
        <f>$H$61*H65</f>
        <v>1.6241123086178089E-12</v>
      </c>
      <c r="J65" s="72">
        <f>I51+I58+I65</f>
        <v>-1.8110999921994115E-4</v>
      </c>
      <c r="K65" s="56">
        <f>J65+H42</f>
        <v>4.87890977618477E-19</v>
      </c>
      <c r="L65" t="b">
        <f>K65=0</f>
        <v>0</v>
      </c>
      <c r="M65" s="59">
        <v>3.0010716134398763E-14</v>
      </c>
    </row>
    <row r="66" spans="2:13" x14ac:dyDescent="0.2">
      <c r="B66" t="s">
        <v>214</v>
      </c>
      <c r="C66" s="59">
        <v>-1.9523739674398577E-3</v>
      </c>
      <c r="D66" s="59">
        <v>-1.9523739674454088E-3</v>
      </c>
      <c r="G66" t="s">
        <v>214</v>
      </c>
      <c r="H66" s="59">
        <v>-1.9523739674398577E-3</v>
      </c>
      <c r="I66" s="59">
        <f>$H$61*H66</f>
        <v>-6.8460103089936275E-2</v>
      </c>
      <c r="J66" s="72">
        <f>I52+I59+I66</f>
        <v>-6.4595358076835474E-2</v>
      </c>
      <c r="K66" s="56">
        <f>J66+H43</f>
        <v>0</v>
      </c>
      <c r="M66" s="59">
        <v>-1.9469802659100033E-3</v>
      </c>
    </row>
    <row r="67" spans="2:13" x14ac:dyDescent="0.2">
      <c r="H67">
        <f>OTCexotics(H37,H3,"USD",H4,H5,H6,H7,H10,H2,H8,H9,0,0,0,H12,H14,0,0,L8,L9,L10,H17)</f>
        <v>0.67302053546426455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"/>
  <dimension ref="B2:AM53"/>
  <sheetViews>
    <sheetView workbookViewId="0">
      <selection activeCell="H19" sqref="H19"/>
    </sheetView>
  </sheetViews>
  <sheetFormatPr defaultRowHeight="12.75" x14ac:dyDescent="0.2"/>
  <cols>
    <col min="1" max="1" width="9.140625" style="2"/>
    <col min="2" max="2" width="9.5703125" style="2" bestFit="1" customWidth="1"/>
    <col min="3" max="3" width="8" style="2" bestFit="1" customWidth="1"/>
    <col min="4" max="4" width="5.28515625" style="2" bestFit="1" customWidth="1"/>
    <col min="5" max="5" width="9" style="2" bestFit="1" customWidth="1"/>
    <col min="6" max="6" width="5.5703125" style="2" customWidth="1"/>
    <col min="7" max="7" width="11.7109375" style="2" bestFit="1" customWidth="1"/>
    <col min="8" max="8" width="18.85546875" style="2" customWidth="1"/>
    <col min="9" max="9" width="8.28515625" style="2" customWidth="1"/>
    <col min="10" max="10" width="14" style="2" customWidth="1"/>
    <col min="11" max="11" width="12.42578125" style="2" bestFit="1" customWidth="1"/>
    <col min="12" max="12" width="10.7109375" style="2" customWidth="1"/>
    <col min="13" max="13" width="8.42578125" style="2" customWidth="1"/>
    <col min="14" max="17" width="14.7109375" style="2" customWidth="1"/>
    <col min="18" max="18" width="13.140625" style="2" bestFit="1" customWidth="1"/>
    <col min="19" max="19" width="10.28515625" style="2" bestFit="1" customWidth="1"/>
    <col min="20" max="20" width="14.42578125" style="2" bestFit="1" customWidth="1"/>
    <col min="21" max="21" width="16.5703125" style="2" bestFit="1" customWidth="1"/>
    <col min="22" max="16384" width="9.140625" style="2"/>
  </cols>
  <sheetData>
    <row r="2" spans="2:39" x14ac:dyDescent="0.2">
      <c r="B2" s="1" t="s">
        <v>0</v>
      </c>
      <c r="C2" s="1" t="s">
        <v>1</v>
      </c>
      <c r="D2" s="1" t="s">
        <v>2</v>
      </c>
      <c r="E2" s="1" t="s">
        <v>3</v>
      </c>
      <c r="G2" s="1" t="s">
        <v>4</v>
      </c>
      <c r="H2" s="1" t="s">
        <v>5</v>
      </c>
      <c r="L2" s="32" t="s">
        <v>94</v>
      </c>
      <c r="S2" s="3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spans="2:39" x14ac:dyDescent="0.2">
      <c r="B3" s="4" t="s">
        <v>6</v>
      </c>
      <c r="C3" s="5">
        <v>10000</v>
      </c>
      <c r="D3" s="6" t="s">
        <v>7</v>
      </c>
      <c r="E3" s="7">
        <v>360</v>
      </c>
      <c r="F3" s="23"/>
      <c r="G3" s="8" t="s">
        <v>8</v>
      </c>
      <c r="H3" s="9">
        <v>1</v>
      </c>
      <c r="I3" s="23"/>
      <c r="J3" s="2" t="s">
        <v>59</v>
      </c>
      <c r="K3" s="26" t="s">
        <v>79</v>
      </c>
      <c r="L3" s="3" t="s">
        <v>30</v>
      </c>
      <c r="R3" s="2" t="s">
        <v>93</v>
      </c>
      <c r="S3" s="36" t="s">
        <v>83</v>
      </c>
      <c r="T3" s="37">
        <v>1E-4</v>
      </c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2:39" x14ac:dyDescent="0.2">
      <c r="B4" s="8" t="s">
        <v>9</v>
      </c>
      <c r="C4" s="10">
        <v>10000</v>
      </c>
      <c r="D4" s="11" t="s">
        <v>7</v>
      </c>
      <c r="E4" s="9">
        <v>360</v>
      </c>
      <c r="F4" s="23"/>
      <c r="G4" s="8" t="s">
        <v>10</v>
      </c>
      <c r="H4" s="9">
        <v>2</v>
      </c>
      <c r="I4" s="23"/>
      <c r="J4" s="2" t="s">
        <v>60</v>
      </c>
      <c r="K4" s="32" t="s">
        <v>94</v>
      </c>
      <c r="L4" s="32" t="s">
        <v>95</v>
      </c>
      <c r="R4" s="2" t="s">
        <v>81</v>
      </c>
      <c r="S4" s="31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2:39" x14ac:dyDescent="0.2">
      <c r="B5" s="8" t="s">
        <v>11</v>
      </c>
      <c r="C5" s="10">
        <v>10000</v>
      </c>
      <c r="D5" s="11" t="s">
        <v>12</v>
      </c>
      <c r="E5" s="9">
        <v>365</v>
      </c>
      <c r="F5" s="23"/>
      <c r="G5" s="8" t="s">
        <v>13</v>
      </c>
      <c r="H5" s="9">
        <v>3</v>
      </c>
      <c r="I5" s="23"/>
      <c r="J5" s="2" t="s">
        <v>61</v>
      </c>
      <c r="K5" s="3" t="s">
        <v>30</v>
      </c>
      <c r="L5" s="3" t="s">
        <v>53</v>
      </c>
      <c r="M5" s="48"/>
      <c r="N5" s="48"/>
      <c r="O5" s="48"/>
      <c r="P5" s="48"/>
      <c r="Q5" s="48"/>
      <c r="R5" s="48" t="e">
        <f t="array" ref="R5:R12">ZetaTool_new(K3,K4,K5,K6,K7,K8,K9,K10,K11,K12,K13,K14,K15,K16,K17,K18,K19,K20,K21,K22,R4,0.5,0.5)</f>
        <v>#VALUE!</v>
      </c>
      <c r="S5" s="31" t="e">
        <f>IF(LEFT($K$4,3)="USD",ABS(R5-N5)&lt;$T$3,ABS(R5-M5)&lt;$T$3)</f>
        <v>#VALUE!</v>
      </c>
      <c r="T5" s="33" t="s">
        <v>84</v>
      </c>
      <c r="U5" s="33"/>
      <c r="V5" s="3"/>
      <c r="W5" s="16"/>
      <c r="X5" s="16"/>
      <c r="Y5" s="3"/>
      <c r="Z5" s="37"/>
      <c r="AA5" s="37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2:39" x14ac:dyDescent="0.2">
      <c r="B6" s="8" t="s">
        <v>14</v>
      </c>
      <c r="C6" s="10">
        <v>100</v>
      </c>
      <c r="D6" s="11" t="s">
        <v>12</v>
      </c>
      <c r="E6" s="9">
        <v>360</v>
      </c>
      <c r="F6" s="23"/>
      <c r="G6" s="8" t="s">
        <v>15</v>
      </c>
      <c r="H6" s="9">
        <v>4</v>
      </c>
      <c r="I6" s="23"/>
      <c r="J6" s="2" t="s">
        <v>62</v>
      </c>
      <c r="M6" s="48"/>
      <c r="N6" s="48"/>
      <c r="O6" s="48"/>
      <c r="P6" s="48"/>
      <c r="Q6" s="48"/>
      <c r="R6" s="48" t="e">
        <v>#VALUE!</v>
      </c>
      <c r="S6" s="31" t="e">
        <f t="shared" ref="S6:S12" si="0">IF(LEFT($K$4,3)="USD",ABS(R6-N6)&lt;$T$3,ABS(R6-M6)&lt;$T$3)</f>
        <v>#VALUE!</v>
      </c>
      <c r="T6" s="40" t="s">
        <v>85</v>
      </c>
      <c r="U6" s="33"/>
      <c r="V6" s="3"/>
      <c r="W6" s="16"/>
      <c r="X6" s="16"/>
      <c r="Y6" s="3"/>
      <c r="Z6" s="37"/>
      <c r="AA6" s="37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2:39" x14ac:dyDescent="0.2">
      <c r="B7" s="8" t="s">
        <v>16</v>
      </c>
      <c r="C7" s="10">
        <v>100</v>
      </c>
      <c r="D7" s="11" t="s">
        <v>7</v>
      </c>
      <c r="E7" s="9">
        <v>365</v>
      </c>
      <c r="F7" s="23"/>
      <c r="G7" s="8" t="s">
        <v>17</v>
      </c>
      <c r="H7" s="9">
        <v>5</v>
      </c>
      <c r="I7" s="23"/>
      <c r="J7" s="2" t="s">
        <v>63</v>
      </c>
      <c r="K7" s="34">
        <v>37889</v>
      </c>
      <c r="L7" s="32" t="s">
        <v>105</v>
      </c>
      <c r="M7" s="48"/>
      <c r="N7" s="48"/>
      <c r="O7" s="48"/>
      <c r="P7" s="48"/>
      <c r="Q7" s="48"/>
      <c r="R7" s="48" t="e">
        <v>#VALUE!</v>
      </c>
      <c r="S7" s="31" t="e">
        <f t="shared" si="0"/>
        <v>#VALUE!</v>
      </c>
      <c r="T7" s="41" t="s">
        <v>86</v>
      </c>
      <c r="U7" s="3"/>
      <c r="V7" s="3"/>
      <c r="W7" s="16"/>
      <c r="X7" s="16"/>
      <c r="Y7" s="3"/>
      <c r="Z7" s="37"/>
      <c r="AA7" s="37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2:39" x14ac:dyDescent="0.2">
      <c r="B8" s="12" t="s">
        <v>18</v>
      </c>
      <c r="C8" s="10">
        <v>10000</v>
      </c>
      <c r="D8" s="11" t="s">
        <v>7</v>
      </c>
      <c r="E8" s="9">
        <v>360</v>
      </c>
      <c r="F8" s="23"/>
      <c r="G8" s="8" t="s">
        <v>19</v>
      </c>
      <c r="H8" s="9">
        <v>6</v>
      </c>
      <c r="I8" s="23"/>
      <c r="J8" s="2" t="s">
        <v>64</v>
      </c>
      <c r="K8" s="34" t="s">
        <v>106</v>
      </c>
      <c r="L8" s="50" t="s">
        <v>107</v>
      </c>
      <c r="M8" s="48"/>
      <c r="N8" s="48"/>
      <c r="O8" s="48"/>
      <c r="P8" s="48"/>
      <c r="Q8" s="48"/>
      <c r="R8" s="48" t="e">
        <v>#VALUE!</v>
      </c>
      <c r="S8" s="31" t="e">
        <f t="shared" si="0"/>
        <v>#VALUE!</v>
      </c>
      <c r="T8" s="41" t="s">
        <v>87</v>
      </c>
      <c r="U8" s="3"/>
      <c r="V8" s="3"/>
      <c r="W8" s="16"/>
      <c r="X8" s="16"/>
      <c r="Y8" s="3"/>
      <c r="Z8" s="37"/>
      <c r="AA8" s="37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</row>
    <row r="9" spans="2:39" x14ac:dyDescent="0.2">
      <c r="B9" s="8" t="s">
        <v>20</v>
      </c>
      <c r="C9" s="10">
        <v>10000</v>
      </c>
      <c r="D9" s="11" t="s">
        <v>7</v>
      </c>
      <c r="E9" s="9">
        <v>360</v>
      </c>
      <c r="F9" s="23"/>
      <c r="G9" s="8" t="s">
        <v>21</v>
      </c>
      <c r="H9" s="9">
        <v>7</v>
      </c>
      <c r="I9" s="23"/>
      <c r="J9" s="2" t="s">
        <v>65</v>
      </c>
      <c r="K9" s="53">
        <v>102.34</v>
      </c>
      <c r="L9" s="50" t="s">
        <v>108</v>
      </c>
      <c r="M9" s="48"/>
      <c r="N9" s="48"/>
      <c r="O9" s="48"/>
      <c r="P9" s="48"/>
      <c r="Q9" s="48"/>
      <c r="R9" s="48" t="e">
        <v>#VALUE!</v>
      </c>
      <c r="S9" s="31" t="e">
        <f t="shared" si="0"/>
        <v>#VALUE!</v>
      </c>
      <c r="T9" s="3" t="s">
        <v>88</v>
      </c>
      <c r="U9" s="3"/>
      <c r="V9" s="3"/>
      <c r="W9" s="16"/>
      <c r="X9" s="16"/>
      <c r="Y9" s="3"/>
      <c r="Z9" s="37"/>
      <c r="AA9" s="37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  <row r="10" spans="2:39" x14ac:dyDescent="0.2">
      <c r="B10" s="8" t="s">
        <v>22</v>
      </c>
      <c r="C10" s="10">
        <v>10000</v>
      </c>
      <c r="D10" s="11" t="s">
        <v>7</v>
      </c>
      <c r="E10" s="9">
        <v>360</v>
      </c>
      <c r="F10" s="23"/>
      <c r="G10" s="8" t="s">
        <v>23</v>
      </c>
      <c r="H10" s="9">
        <v>21</v>
      </c>
      <c r="I10" s="23"/>
      <c r="J10" s="2" t="s">
        <v>66</v>
      </c>
      <c r="K10" s="53">
        <v>112.08</v>
      </c>
      <c r="M10" s="48"/>
      <c r="N10" s="48"/>
      <c r="O10" s="48"/>
      <c r="P10" s="48"/>
      <c r="Q10" s="48"/>
      <c r="R10" s="48" t="e">
        <v>#VALUE!</v>
      </c>
      <c r="S10" s="31" t="e">
        <f t="shared" si="0"/>
        <v>#VALUE!</v>
      </c>
      <c r="T10" s="3" t="s">
        <v>89</v>
      </c>
      <c r="U10" s="3"/>
      <c r="V10" s="3"/>
      <c r="W10" s="16"/>
      <c r="X10" s="16"/>
      <c r="Y10" s="3"/>
      <c r="Z10" s="37"/>
      <c r="AA10" s="37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</row>
    <row r="11" spans="2:39" x14ac:dyDescent="0.2">
      <c r="B11" s="12" t="s">
        <v>24</v>
      </c>
      <c r="C11" s="10">
        <v>100</v>
      </c>
      <c r="D11" s="11" t="s">
        <v>7</v>
      </c>
      <c r="E11" s="9">
        <v>360</v>
      </c>
      <c r="F11" s="23"/>
      <c r="G11" s="8" t="s">
        <v>25</v>
      </c>
      <c r="H11" s="9">
        <v>22</v>
      </c>
      <c r="I11" s="23"/>
      <c r="J11" s="2" t="s">
        <v>67</v>
      </c>
      <c r="K11" s="53" t="s">
        <v>109</v>
      </c>
      <c r="L11" s="35"/>
      <c r="M11" s="48"/>
      <c r="N11" s="48"/>
      <c r="O11" s="48"/>
      <c r="P11" s="48"/>
      <c r="Q11" s="48"/>
      <c r="R11" s="48" t="e">
        <v>#VALUE!</v>
      </c>
      <c r="S11" s="31" t="e">
        <f t="shared" si="0"/>
        <v>#VALUE!</v>
      </c>
      <c r="T11" s="3" t="s">
        <v>90</v>
      </c>
      <c r="U11" s="3"/>
      <c r="V11" s="3"/>
      <c r="W11" s="16"/>
      <c r="X11" s="16"/>
      <c r="Y11" s="3"/>
      <c r="Z11" s="37"/>
      <c r="AA11" s="37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</row>
    <row r="12" spans="2:39" x14ac:dyDescent="0.2">
      <c r="B12" s="8" t="s">
        <v>26</v>
      </c>
      <c r="C12" s="10">
        <v>10000</v>
      </c>
      <c r="D12" s="11" t="s">
        <v>7</v>
      </c>
      <c r="E12" s="9">
        <v>360</v>
      </c>
      <c r="F12" s="23"/>
      <c r="G12" s="13" t="s">
        <v>27</v>
      </c>
      <c r="H12" s="14">
        <v>23</v>
      </c>
      <c r="I12" s="23"/>
      <c r="J12" s="2" t="s">
        <v>68</v>
      </c>
      <c r="K12" s="43">
        <v>0</v>
      </c>
      <c r="L12" s="48" t="s">
        <v>110</v>
      </c>
      <c r="M12" s="48"/>
      <c r="N12" s="48"/>
      <c r="O12" s="48"/>
      <c r="P12" s="48"/>
      <c r="Q12" s="48"/>
      <c r="R12" s="48" t="e">
        <v>#VALUE!</v>
      </c>
      <c r="S12" s="31" t="e">
        <f t="shared" si="0"/>
        <v>#VALUE!</v>
      </c>
      <c r="T12" s="3" t="s">
        <v>91</v>
      </c>
      <c r="U12" s="3">
        <f>optionPricer("DoubleNoTouch","EURUSD","EUR","c",37991,38178,1.18,1.17,1.11193241816262,0.1,"EUR",0.12,1.23,1.12,1.17,38021,0.12,1.16901701118829,0.0215,"DELTA","R")</f>
        <v>0.17696391476952406</v>
      </c>
      <c r="V12" s="3"/>
      <c r="W12" s="16"/>
      <c r="X12" s="16"/>
      <c r="Y12" s="3"/>
      <c r="Z12" s="37"/>
      <c r="AA12" s="37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2:39" x14ac:dyDescent="0.2">
      <c r="B13" s="8" t="s">
        <v>28</v>
      </c>
      <c r="C13" s="10">
        <v>10000</v>
      </c>
      <c r="D13" s="11" t="s">
        <v>7</v>
      </c>
      <c r="E13" s="9">
        <v>360</v>
      </c>
      <c r="F13" s="23"/>
      <c r="G13" s="23"/>
      <c r="H13" s="23"/>
      <c r="I13" s="23"/>
      <c r="J13" s="2" t="s">
        <v>69</v>
      </c>
      <c r="K13" s="43">
        <v>0.11899999999999999</v>
      </c>
      <c r="L13" s="43"/>
      <c r="M13" s="43"/>
      <c r="N13" s="48"/>
      <c r="O13" s="48"/>
      <c r="P13" s="48"/>
      <c r="Q13" s="48"/>
      <c r="R13" s="48" t="e">
        <f>ZetaTool_new(K3,K4,K5,K6,K7,K8,K9,K10,K11,K12,K13,K14,K15,K16,K17,K18,K19,K20,K21,K22,R4,0.5,0.5)</f>
        <v>#VALUE!</v>
      </c>
      <c r="T13" s="3"/>
      <c r="U13" s="3"/>
      <c r="V13" s="3"/>
      <c r="W13" s="15"/>
      <c r="X13" s="27"/>
      <c r="Y13" s="3"/>
      <c r="Z13" s="37"/>
      <c r="AA13" s="37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</row>
    <row r="14" spans="2:39" x14ac:dyDescent="0.2">
      <c r="B14" s="8" t="s">
        <v>29</v>
      </c>
      <c r="C14" s="10">
        <v>100</v>
      </c>
      <c r="D14" s="11" t="s">
        <v>7</v>
      </c>
      <c r="E14" s="9">
        <v>360</v>
      </c>
      <c r="F14" s="23"/>
      <c r="G14" s="23"/>
      <c r="H14" s="23"/>
      <c r="I14" s="23"/>
      <c r="J14" s="2" t="s">
        <v>70</v>
      </c>
      <c r="K14" s="43">
        <v>8.5000000000000006E-3</v>
      </c>
      <c r="L14" s="43"/>
      <c r="M14" s="43"/>
      <c r="S14" s="32" t="e">
        <f>R8/R5</f>
        <v>#VALUE!</v>
      </c>
      <c r="T14" s="3" t="e">
        <f>R20/R17</f>
        <v>#VALUE!</v>
      </c>
      <c r="U14" s="3"/>
      <c r="V14" s="3"/>
      <c r="W14" s="3"/>
      <c r="X14" s="3"/>
      <c r="Y14" s="3"/>
      <c r="Z14" s="37"/>
      <c r="AA14" s="37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5" spans="2:39" x14ac:dyDescent="0.2">
      <c r="B15" s="8" t="s">
        <v>30</v>
      </c>
      <c r="C15" s="10">
        <v>10000</v>
      </c>
      <c r="D15" s="11" t="s">
        <v>12</v>
      </c>
      <c r="E15" s="9">
        <v>360</v>
      </c>
      <c r="F15" s="23"/>
      <c r="G15" s="26" t="s">
        <v>79</v>
      </c>
      <c r="H15" s="23"/>
      <c r="I15" s="23"/>
      <c r="J15" s="2" t="s">
        <v>71</v>
      </c>
      <c r="K15" s="43">
        <v>2.5000000000000001E-3</v>
      </c>
      <c r="L15" s="43"/>
      <c r="M15" s="43"/>
      <c r="R15" s="2" t="s">
        <v>93</v>
      </c>
      <c r="T15" s="3"/>
      <c r="U15" s="3"/>
      <c r="V15" s="3"/>
      <c r="W15" s="3"/>
      <c r="X15" s="3"/>
      <c r="Y15" s="3"/>
      <c r="Z15" s="37"/>
      <c r="AA15" s="37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</row>
    <row r="16" spans="2:39" x14ac:dyDescent="0.2">
      <c r="B16" s="8" t="s">
        <v>31</v>
      </c>
      <c r="C16" s="10">
        <v>10000</v>
      </c>
      <c r="D16" s="11" t="s">
        <v>7</v>
      </c>
      <c r="E16" s="9">
        <v>360</v>
      </c>
      <c r="F16" s="23"/>
      <c r="G16" s="32" t="s">
        <v>80</v>
      </c>
      <c r="H16" s="23"/>
      <c r="I16" s="23"/>
      <c r="J16" s="2" t="s">
        <v>72</v>
      </c>
      <c r="K16" s="44">
        <v>115</v>
      </c>
      <c r="L16" s="44"/>
      <c r="M16" s="44"/>
      <c r="R16" s="2" t="s">
        <v>82</v>
      </c>
      <c r="S16" s="31"/>
      <c r="T16" s="47" t="e">
        <f>AVERAGE(U22:U24)=K10</f>
        <v>#VALUE!</v>
      </c>
      <c r="U16" s="47" t="e">
        <f>AVERAGE(U17:U20)=K10</f>
        <v>#VALUE!</v>
      </c>
      <c r="V16" s="3"/>
      <c r="W16" s="3"/>
      <c r="X16" s="3"/>
      <c r="Y16" s="3"/>
      <c r="Z16" s="37"/>
      <c r="AA16" s="37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</row>
    <row r="17" spans="2:39" x14ac:dyDescent="0.2">
      <c r="B17" s="8" t="s">
        <v>32</v>
      </c>
      <c r="C17" s="10">
        <v>10000</v>
      </c>
      <c r="D17" s="11" t="s">
        <v>7</v>
      </c>
      <c r="E17" s="9">
        <v>360</v>
      </c>
      <c r="F17" s="23"/>
      <c r="G17" s="3" t="s">
        <v>11</v>
      </c>
      <c r="H17" s="23"/>
      <c r="I17" s="23"/>
      <c r="J17" s="2" t="s">
        <v>73</v>
      </c>
      <c r="K17" s="44">
        <v>100</v>
      </c>
      <c r="L17" s="44"/>
      <c r="M17" s="44"/>
      <c r="N17" s="38"/>
      <c r="O17" s="38"/>
      <c r="P17" s="38"/>
      <c r="Q17" s="38"/>
      <c r="R17" s="38" t="e">
        <f t="array" ref="R17:R24">ZetaTool_new(K3,K4,K5,K6,K7,K8,K9,K10,K11,K12,K13,K14,K15,K16,K17,K18,K19,K20,K21,K22,R16,0.5,0.5)</f>
        <v>#VALUE!</v>
      </c>
      <c r="S17" s="31" t="e">
        <f t="shared" ref="S17:S24" si="1">ABS(R17-M5)&lt;$T$3</f>
        <v>#VALUE!</v>
      </c>
      <c r="T17" s="33" t="s">
        <v>84</v>
      </c>
      <c r="U17" s="46" t="e">
        <f t="shared" ref="U17:U24" si="2">R17/R5</f>
        <v>#VALUE!</v>
      </c>
      <c r="V17" s="3"/>
      <c r="W17" s="38"/>
      <c r="X17" s="38"/>
      <c r="Y17" s="3"/>
      <c r="Z17" s="37"/>
      <c r="AA17" s="37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</row>
    <row r="18" spans="2:39" x14ac:dyDescent="0.2">
      <c r="B18" s="8" t="s">
        <v>33</v>
      </c>
      <c r="C18" s="10">
        <v>10000</v>
      </c>
      <c r="D18" s="11" t="s">
        <v>12</v>
      </c>
      <c r="E18" s="9">
        <v>365</v>
      </c>
      <c r="F18" s="23"/>
      <c r="H18" s="23"/>
      <c r="I18" s="23"/>
      <c r="J18" s="2" t="s">
        <v>74</v>
      </c>
      <c r="K18" s="44" t="s">
        <v>109</v>
      </c>
      <c r="L18" s="44"/>
      <c r="M18" s="44"/>
      <c r="N18" s="38"/>
      <c r="O18" s="38"/>
      <c r="P18" s="38"/>
      <c r="Q18" s="38"/>
      <c r="R18" s="38" t="e">
        <v>#VALUE!</v>
      </c>
      <c r="S18" s="31" t="e">
        <f t="shared" si="1"/>
        <v>#VALUE!</v>
      </c>
      <c r="T18" s="40" t="s">
        <v>85</v>
      </c>
      <c r="U18" s="46" t="e">
        <f t="shared" si="2"/>
        <v>#VALUE!</v>
      </c>
      <c r="V18" s="3"/>
      <c r="W18" s="38"/>
      <c r="X18" s="38"/>
      <c r="Y18" s="3"/>
      <c r="Z18" s="37"/>
      <c r="AA18" s="37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2:39" x14ac:dyDescent="0.2">
      <c r="B19" s="8" t="s">
        <v>34</v>
      </c>
      <c r="C19" s="10">
        <v>10000</v>
      </c>
      <c r="D19" s="11" t="s">
        <v>7</v>
      </c>
      <c r="E19" s="9">
        <v>365</v>
      </c>
      <c r="F19" s="23"/>
      <c r="G19" s="34">
        <v>37998</v>
      </c>
      <c r="I19" s="23"/>
      <c r="J19" s="2" t="s">
        <v>75</v>
      </c>
      <c r="K19" s="3"/>
      <c r="L19" s="3"/>
      <c r="M19" s="3"/>
      <c r="N19" s="38"/>
      <c r="O19" s="38"/>
      <c r="P19" s="38"/>
      <c r="Q19" s="38"/>
      <c r="R19" s="38" t="e">
        <v>#VALUE!</v>
      </c>
      <c r="S19" s="31" t="e">
        <f t="shared" si="1"/>
        <v>#VALUE!</v>
      </c>
      <c r="T19" s="41" t="s">
        <v>86</v>
      </c>
      <c r="U19" s="46" t="e">
        <f t="shared" si="2"/>
        <v>#VALUE!</v>
      </c>
      <c r="V19" s="3"/>
      <c r="W19" s="38"/>
      <c r="X19" s="38"/>
      <c r="Y19" s="3"/>
      <c r="Z19" s="37"/>
      <c r="AA19" s="37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2:39" x14ac:dyDescent="0.2">
      <c r="B20" s="8" t="s">
        <v>35</v>
      </c>
      <c r="C20" s="10">
        <v>10000</v>
      </c>
      <c r="D20" s="11" t="s">
        <v>7</v>
      </c>
      <c r="E20" s="9">
        <v>360</v>
      </c>
      <c r="F20" s="23"/>
      <c r="G20" s="34">
        <v>38364</v>
      </c>
      <c r="H20" s="23"/>
      <c r="I20" s="23"/>
      <c r="J20" s="2" t="s">
        <v>92</v>
      </c>
      <c r="N20" s="38"/>
      <c r="O20" s="38"/>
      <c r="P20" s="38"/>
      <c r="Q20" s="38"/>
      <c r="R20" s="38" t="e">
        <v>#VALUE!</v>
      </c>
      <c r="S20" s="31" t="e">
        <f t="shared" si="1"/>
        <v>#VALUE!</v>
      </c>
      <c r="T20" s="41" t="s">
        <v>87</v>
      </c>
      <c r="U20" s="46" t="e">
        <f t="shared" si="2"/>
        <v>#VALUE!</v>
      </c>
      <c r="V20" s="3"/>
      <c r="W20" s="38"/>
      <c r="X20" s="38"/>
      <c r="Y20" s="3"/>
      <c r="Z20" s="37"/>
      <c r="AA20" s="37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2:39" x14ac:dyDescent="0.2">
      <c r="B21" s="8" t="s">
        <v>36</v>
      </c>
      <c r="C21" s="10">
        <v>100</v>
      </c>
      <c r="D21" s="11" t="s">
        <v>7</v>
      </c>
      <c r="E21" s="9">
        <v>365</v>
      </c>
      <c r="F21" s="23"/>
      <c r="G21" s="35">
        <v>2</v>
      </c>
      <c r="H21" s="23"/>
      <c r="I21" s="23"/>
      <c r="J21" s="2" t="s">
        <v>76</v>
      </c>
      <c r="K21" s="3"/>
      <c r="L21" s="3"/>
      <c r="M21" s="49"/>
      <c r="N21" s="39"/>
      <c r="O21" s="39"/>
      <c r="P21" s="39"/>
      <c r="Q21" s="39"/>
      <c r="R21" s="39" t="e">
        <v>#VALUE!</v>
      </c>
      <c r="S21" s="31" t="e">
        <f t="shared" si="1"/>
        <v>#VALUE!</v>
      </c>
      <c r="T21" s="3" t="s">
        <v>88</v>
      </c>
      <c r="U21" s="46" t="e">
        <f t="shared" si="2"/>
        <v>#VALUE!</v>
      </c>
      <c r="V21" s="3"/>
      <c r="W21" s="39"/>
      <c r="X21" s="39"/>
      <c r="Y21" s="3"/>
      <c r="Z21" s="37"/>
      <c r="AA21" s="37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2:39" x14ac:dyDescent="0.2">
      <c r="B22" s="8" t="s">
        <v>37</v>
      </c>
      <c r="C22" s="10">
        <v>10000</v>
      </c>
      <c r="D22" s="11" t="s">
        <v>12</v>
      </c>
      <c r="E22" s="9">
        <v>365</v>
      </c>
      <c r="F22" s="23"/>
      <c r="G22" s="35">
        <v>2</v>
      </c>
      <c r="H22" s="23"/>
      <c r="I22" s="23"/>
      <c r="J22" s="2" t="s">
        <v>77</v>
      </c>
      <c r="K22" s="3"/>
      <c r="L22" s="3"/>
      <c r="M22" s="52"/>
      <c r="N22" s="39"/>
      <c r="O22" s="39"/>
      <c r="P22" s="39"/>
      <c r="Q22" s="39"/>
      <c r="R22" s="39" t="e">
        <v>#VALUE!</v>
      </c>
      <c r="S22" s="31" t="e">
        <f t="shared" si="1"/>
        <v>#VALUE!</v>
      </c>
      <c r="T22" s="3" t="s">
        <v>89</v>
      </c>
      <c r="U22" s="46" t="e">
        <f t="shared" si="2"/>
        <v>#VALUE!</v>
      </c>
      <c r="V22" s="3"/>
      <c r="W22" s="39"/>
      <c r="X22" s="39"/>
      <c r="Y22" s="3"/>
      <c r="Z22" s="37"/>
      <c r="AA22" s="37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2:39" x14ac:dyDescent="0.2">
      <c r="B23" s="12" t="s">
        <v>38</v>
      </c>
      <c r="C23" s="10">
        <v>10000</v>
      </c>
      <c r="D23" s="11" t="s">
        <v>7</v>
      </c>
      <c r="E23" s="17">
        <v>360</v>
      </c>
      <c r="F23" s="42"/>
      <c r="G23" s="35">
        <v>2</v>
      </c>
      <c r="H23" s="42"/>
      <c r="I23" s="42"/>
      <c r="J23" s="2" t="s">
        <v>78</v>
      </c>
      <c r="K23" s="3"/>
      <c r="L23" s="3"/>
      <c r="M23" s="3"/>
      <c r="N23" s="38"/>
      <c r="O23" s="38"/>
      <c r="P23" s="38"/>
      <c r="Q23" s="38"/>
      <c r="R23" s="38" t="e">
        <v>#VALUE!</v>
      </c>
      <c r="S23" s="31" t="e">
        <f t="shared" si="1"/>
        <v>#VALUE!</v>
      </c>
      <c r="T23" s="3" t="s">
        <v>90</v>
      </c>
      <c r="U23" s="46" t="e">
        <f t="shared" si="2"/>
        <v>#VALUE!</v>
      </c>
      <c r="V23" s="3"/>
      <c r="W23" s="38"/>
      <c r="X23" s="38"/>
      <c r="Y23" s="3"/>
      <c r="Z23" s="37"/>
      <c r="AA23" s="37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2:39" x14ac:dyDescent="0.2">
      <c r="B24" s="8" t="s">
        <v>39</v>
      </c>
      <c r="C24" s="10">
        <v>100</v>
      </c>
      <c r="D24" s="11" t="s">
        <v>7</v>
      </c>
      <c r="E24" s="9">
        <v>360</v>
      </c>
      <c r="F24" s="23"/>
      <c r="G24" s="43">
        <v>0</v>
      </c>
      <c r="H24" s="23"/>
      <c r="I24" s="23"/>
      <c r="K24" s="3"/>
      <c r="L24" s="3"/>
      <c r="M24" s="3"/>
      <c r="N24" s="38"/>
      <c r="O24" s="38"/>
      <c r="P24" s="38"/>
      <c r="Q24" s="38"/>
      <c r="R24" s="38" t="e">
        <v>#VALUE!</v>
      </c>
      <c r="S24" s="31" t="e">
        <f t="shared" si="1"/>
        <v>#VALUE!</v>
      </c>
      <c r="T24" s="3" t="s">
        <v>91</v>
      </c>
      <c r="U24" s="46" t="e">
        <f t="shared" si="2"/>
        <v>#VALUE!</v>
      </c>
      <c r="V24" s="3"/>
      <c r="W24" s="38"/>
      <c r="X24" s="38"/>
      <c r="Y24" s="3"/>
      <c r="Z24" s="37"/>
      <c r="AA24" s="37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2:39" x14ac:dyDescent="0.2">
      <c r="B25" s="8" t="s">
        <v>40</v>
      </c>
      <c r="C25" s="10">
        <v>100</v>
      </c>
      <c r="D25" s="11" t="s">
        <v>7</v>
      </c>
      <c r="E25" s="9">
        <v>360</v>
      </c>
      <c r="F25" s="23"/>
      <c r="G25" s="43">
        <v>0.1</v>
      </c>
      <c r="H25" s="23"/>
      <c r="I25" s="23"/>
      <c r="K25" s="3"/>
      <c r="L25" s="3"/>
      <c r="M25" s="3"/>
      <c r="N25" s="15"/>
      <c r="O25" s="15"/>
      <c r="P25" s="15"/>
      <c r="Q25" s="15"/>
      <c r="R25" s="27"/>
      <c r="T25" s="29"/>
      <c r="U25" s="3"/>
      <c r="V25" s="3"/>
      <c r="W25" s="15"/>
      <c r="X25" s="27"/>
      <c r="Y25" s="3"/>
      <c r="Z25" s="37"/>
      <c r="AA25" s="37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2:39" x14ac:dyDescent="0.2">
      <c r="B26" s="8" t="s">
        <v>41</v>
      </c>
      <c r="C26" s="10">
        <v>100</v>
      </c>
      <c r="D26" s="11" t="s">
        <v>7</v>
      </c>
      <c r="E26" s="9">
        <v>365</v>
      </c>
      <c r="F26" s="23"/>
      <c r="G26" s="43">
        <v>0.01</v>
      </c>
      <c r="H26" s="23"/>
      <c r="I26" s="23"/>
      <c r="J26" s="3"/>
      <c r="K26" s="15" t="s">
        <v>111</v>
      </c>
      <c r="L26" s="3"/>
      <c r="M26" s="3"/>
      <c r="N26" s="15"/>
      <c r="O26" s="15"/>
      <c r="P26" s="15"/>
      <c r="Q26" s="15"/>
      <c r="R26" s="15"/>
      <c r="T26" s="29"/>
      <c r="U26" s="3"/>
      <c r="V26" s="3"/>
      <c r="W26" s="15"/>
      <c r="X26" s="15"/>
      <c r="Y26" s="3"/>
      <c r="Z26" s="37"/>
      <c r="AA26" s="37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</row>
    <row r="27" spans="2:39" x14ac:dyDescent="0.2">
      <c r="B27" s="8" t="s">
        <v>42</v>
      </c>
      <c r="C27" s="10">
        <v>1000</v>
      </c>
      <c r="D27" s="11" t="s">
        <v>7</v>
      </c>
      <c r="E27" s="9">
        <v>360</v>
      </c>
      <c r="F27" s="23"/>
      <c r="G27" s="43">
        <v>0.01</v>
      </c>
      <c r="H27" s="23"/>
      <c r="I27" s="23"/>
      <c r="J27" s="2" t="s">
        <v>97</v>
      </c>
      <c r="K27" s="49" t="s">
        <v>112</v>
      </c>
      <c r="L27" s="3"/>
      <c r="M27" s="3"/>
      <c r="N27" s="15"/>
      <c r="O27" s="15"/>
      <c r="P27" s="15"/>
      <c r="Q27" s="15"/>
      <c r="R27" s="27"/>
      <c r="S27" s="15"/>
      <c r="T27" s="29"/>
      <c r="U27" s="16"/>
      <c r="V27" s="3"/>
      <c r="W27" s="15"/>
      <c r="X27" s="27"/>
      <c r="Y27" s="3"/>
      <c r="Z27" s="37"/>
      <c r="AA27" s="37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2:39" x14ac:dyDescent="0.2">
      <c r="B28" s="8" t="s">
        <v>43</v>
      </c>
      <c r="C28" s="10">
        <v>10000</v>
      </c>
      <c r="D28" s="11" t="s">
        <v>7</v>
      </c>
      <c r="E28" s="9">
        <v>360</v>
      </c>
      <c r="F28" s="23"/>
      <c r="G28" s="44">
        <v>2.2000000000000002</v>
      </c>
      <c r="H28" s="23"/>
      <c r="I28" s="23"/>
      <c r="J28" s="3" t="s">
        <v>98</v>
      </c>
      <c r="K28" s="49" t="s">
        <v>113</v>
      </c>
      <c r="L28" s="3"/>
      <c r="M28" s="3"/>
      <c r="N28" s="48"/>
      <c r="O28" s="48"/>
      <c r="P28" s="48"/>
      <c r="Q28" s="48"/>
      <c r="R28" s="48"/>
      <c r="S28" s="15"/>
      <c r="T28" s="29"/>
      <c r="U28" s="16"/>
      <c r="V28" s="3"/>
      <c r="W28" s="15"/>
      <c r="X28" s="27"/>
      <c r="Y28" s="3"/>
      <c r="Z28" s="37"/>
      <c r="AA28" s="37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2:39" x14ac:dyDescent="0.2">
      <c r="B29" s="8" t="s">
        <v>44</v>
      </c>
      <c r="C29" s="10">
        <v>10000</v>
      </c>
      <c r="D29" s="11" t="s">
        <v>7</v>
      </c>
      <c r="E29" s="9">
        <v>360</v>
      </c>
      <c r="F29" s="23"/>
      <c r="G29" s="44">
        <v>1.8</v>
      </c>
      <c r="H29" s="23"/>
      <c r="I29" s="23"/>
      <c r="J29" s="3" t="s">
        <v>96</v>
      </c>
      <c r="K29" s="3" t="s">
        <v>114</v>
      </c>
      <c r="L29" s="3"/>
      <c r="M29" s="3"/>
      <c r="N29" s="15"/>
      <c r="O29" s="15"/>
      <c r="P29" s="15"/>
      <c r="Q29" s="15"/>
      <c r="R29" s="38"/>
      <c r="S29" s="45"/>
      <c r="T29" s="29"/>
      <c r="U29" s="22"/>
      <c r="V29" s="3"/>
      <c r="W29" s="15"/>
      <c r="X29" s="15"/>
      <c r="Y29" s="3"/>
      <c r="Z29" s="37"/>
      <c r="AA29" s="37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</row>
    <row r="30" spans="2:39" x14ac:dyDescent="0.2">
      <c r="B30" s="8" t="s">
        <v>45</v>
      </c>
      <c r="C30" s="10">
        <v>10000</v>
      </c>
      <c r="D30" s="11" t="s">
        <v>7</v>
      </c>
      <c r="E30" s="9">
        <v>360</v>
      </c>
      <c r="F30" s="23"/>
      <c r="G30" s="44" t="s">
        <v>124</v>
      </c>
      <c r="H30" s="23"/>
      <c r="I30" s="23"/>
      <c r="J30" s="3" t="s">
        <v>100</v>
      </c>
      <c r="K30" s="18" t="s">
        <v>115</v>
      </c>
      <c r="L30" s="3"/>
      <c r="M30" s="3"/>
      <c r="N30" s="15"/>
      <c r="O30" s="15"/>
      <c r="P30" s="15"/>
      <c r="Q30" s="15"/>
      <c r="R30" s="27"/>
      <c r="S30" s="15"/>
      <c r="T30" s="29"/>
      <c r="U30" s="22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</row>
    <row r="31" spans="2:39" x14ac:dyDescent="0.2">
      <c r="B31" s="8" t="s">
        <v>46</v>
      </c>
      <c r="C31" s="10">
        <v>10000</v>
      </c>
      <c r="D31" s="11" t="s">
        <v>12</v>
      </c>
      <c r="E31" s="9">
        <v>365</v>
      </c>
      <c r="F31" s="23"/>
      <c r="G31" s="3"/>
      <c r="H31" s="23"/>
      <c r="I31" s="23"/>
      <c r="J31" s="3" t="s">
        <v>99</v>
      </c>
      <c r="K31" s="15" t="s">
        <v>116</v>
      </c>
      <c r="N31" s="15"/>
      <c r="O31" s="15"/>
      <c r="P31" s="15"/>
      <c r="Q31" s="15"/>
      <c r="R31" s="27"/>
      <c r="S31" s="15"/>
      <c r="T31" s="29"/>
      <c r="U31" s="22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</row>
    <row r="32" spans="2:39" x14ac:dyDescent="0.2">
      <c r="B32" s="8" t="s">
        <v>47</v>
      </c>
      <c r="C32" s="10">
        <v>1000</v>
      </c>
      <c r="D32" s="11" t="s">
        <v>7</v>
      </c>
      <c r="E32" s="9">
        <v>360</v>
      </c>
      <c r="F32" s="23"/>
      <c r="H32" s="23"/>
      <c r="I32" s="23"/>
      <c r="J32" s="3" t="s">
        <v>101</v>
      </c>
      <c r="K32" s="2" t="s">
        <v>117</v>
      </c>
      <c r="N32" s="15"/>
      <c r="O32" s="15"/>
      <c r="P32" s="15"/>
      <c r="Q32" s="15"/>
      <c r="R32" s="51">
        <f>optionPricer("Knockout","USDJPY","JPY","c",38084,38145,106.075600427696,111.658526765996,111.434369428298,0.0120061979412275,"USD",0.0925,122.824379442595,122.824379442595,111.658526765996,38114,0.1,111.658526765996,0,"VEGA","R")</f>
        <v>-5.4991685980332231E-2</v>
      </c>
      <c r="S32" s="15"/>
      <c r="T32" s="29"/>
      <c r="U32" s="16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2:39" x14ac:dyDescent="0.2">
      <c r="B33" s="8" t="s">
        <v>48</v>
      </c>
      <c r="C33" s="10">
        <v>100</v>
      </c>
      <c r="D33" s="11" t="s">
        <v>7</v>
      </c>
      <c r="E33" s="9">
        <v>365</v>
      </c>
      <c r="F33" s="23"/>
      <c r="G33" s="3"/>
      <c r="H33" s="23"/>
      <c r="I33" s="23"/>
      <c r="J33" s="3" t="s">
        <v>104</v>
      </c>
      <c r="K33" s="2" t="s">
        <v>118</v>
      </c>
      <c r="L33" s="30"/>
      <c r="M33" s="30"/>
      <c r="N33" s="15"/>
      <c r="O33" s="15"/>
      <c r="P33" s="15"/>
      <c r="Q33" s="15"/>
      <c r="R33" s="27"/>
      <c r="S33" s="15"/>
      <c r="T33" s="29"/>
      <c r="U33" s="16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2:39" x14ac:dyDescent="0.2">
      <c r="B34" s="8" t="s">
        <v>49</v>
      </c>
      <c r="C34" s="10">
        <v>10000</v>
      </c>
      <c r="D34" s="11" t="s">
        <v>7</v>
      </c>
      <c r="E34" s="9">
        <v>360</v>
      </c>
      <c r="F34" s="23"/>
      <c r="G34" s="3"/>
      <c r="H34" s="23"/>
      <c r="I34" s="23"/>
      <c r="J34" s="3" t="s">
        <v>102</v>
      </c>
      <c r="K34" s="32" t="s">
        <v>119</v>
      </c>
      <c r="N34" s="15"/>
      <c r="O34" s="15"/>
      <c r="P34" s="15"/>
      <c r="Q34" s="15"/>
      <c r="R34" s="27"/>
      <c r="S34" s="15"/>
      <c r="T34" s="29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2:39" x14ac:dyDescent="0.2">
      <c r="B35" s="8" t="s">
        <v>50</v>
      </c>
      <c r="C35" s="10">
        <v>10000</v>
      </c>
      <c r="D35" s="11" t="s">
        <v>7</v>
      </c>
      <c r="E35" s="9">
        <v>365</v>
      </c>
      <c r="F35" s="23"/>
      <c r="G35" s="3"/>
      <c r="H35" s="23"/>
      <c r="I35" s="23"/>
      <c r="J35" s="3" t="s">
        <v>103</v>
      </c>
      <c r="K35" s="32" t="s">
        <v>120</v>
      </c>
      <c r="N35" s="15"/>
      <c r="O35" s="15"/>
      <c r="P35" s="15"/>
      <c r="Q35" s="15"/>
      <c r="R35" s="28"/>
      <c r="S35" s="15"/>
      <c r="T35" s="19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2:39" x14ac:dyDescent="0.2">
      <c r="B36" s="8" t="s">
        <v>51</v>
      </c>
      <c r="C36" s="10">
        <v>1000</v>
      </c>
      <c r="D36" s="11" t="s">
        <v>7</v>
      </c>
      <c r="E36" s="9">
        <v>360</v>
      </c>
      <c r="F36" s="23"/>
      <c r="G36" s="23"/>
      <c r="H36" s="23"/>
      <c r="I36" s="23"/>
      <c r="K36" s="2" t="s">
        <v>121</v>
      </c>
      <c r="N36" s="32"/>
      <c r="O36" s="32"/>
      <c r="P36" s="32"/>
      <c r="Q36" s="32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2:39" x14ac:dyDescent="0.2">
      <c r="B37" s="8" t="s">
        <v>52</v>
      </c>
      <c r="C37" s="10">
        <v>1000</v>
      </c>
      <c r="D37" s="11" t="s">
        <v>7</v>
      </c>
      <c r="E37" s="9">
        <v>365</v>
      </c>
      <c r="F37" s="23"/>
      <c r="G37" s="23"/>
      <c r="H37" s="23"/>
      <c r="I37" s="23"/>
      <c r="K37" s="2" t="s">
        <v>122</v>
      </c>
      <c r="N37" s="18"/>
      <c r="O37" s="18"/>
      <c r="P37" s="18"/>
      <c r="Q37" s="18"/>
      <c r="T37" s="25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2:39" x14ac:dyDescent="0.2">
      <c r="B38" s="8" t="s">
        <v>53</v>
      </c>
      <c r="C38" s="10">
        <v>1</v>
      </c>
      <c r="D38" s="11" t="s">
        <v>7</v>
      </c>
      <c r="E38" s="9">
        <v>360</v>
      </c>
      <c r="F38" s="23"/>
      <c r="G38" s="23"/>
      <c r="H38" s="23"/>
      <c r="I38" s="23"/>
      <c r="K38" s="50" t="s">
        <v>123</v>
      </c>
      <c r="N38" s="18"/>
      <c r="O38" s="18"/>
      <c r="P38" s="18"/>
      <c r="Q38" s="18"/>
      <c r="T38" s="25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2:39" x14ac:dyDescent="0.2">
      <c r="B39" s="8" t="s">
        <v>54</v>
      </c>
      <c r="C39" s="10">
        <v>100</v>
      </c>
      <c r="D39" s="11" t="s">
        <v>12</v>
      </c>
      <c r="E39" s="9">
        <v>360</v>
      </c>
      <c r="F39" s="23"/>
      <c r="G39" s="23"/>
      <c r="H39" s="23"/>
      <c r="I39" s="23"/>
      <c r="N39" s="18"/>
      <c r="O39" s="18"/>
      <c r="P39" s="18"/>
      <c r="Q39" s="18"/>
      <c r="T39" s="25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2:39" x14ac:dyDescent="0.2">
      <c r="B40" s="8" t="s">
        <v>55</v>
      </c>
      <c r="C40" s="10">
        <v>100</v>
      </c>
      <c r="D40" s="11" t="s">
        <v>12</v>
      </c>
      <c r="E40" s="9">
        <v>360</v>
      </c>
      <c r="F40" s="23"/>
      <c r="G40" s="23"/>
      <c r="H40" s="23"/>
      <c r="I40" s="23"/>
      <c r="N40" s="18"/>
      <c r="O40" s="18"/>
      <c r="P40" s="18"/>
      <c r="Q40" s="18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2:39" x14ac:dyDescent="0.2">
      <c r="B41" s="8" t="s">
        <v>56</v>
      </c>
      <c r="C41" s="10">
        <v>100</v>
      </c>
      <c r="D41" s="11" t="s">
        <v>12</v>
      </c>
      <c r="E41" s="9">
        <v>360</v>
      </c>
      <c r="F41" s="23"/>
      <c r="G41" s="23"/>
      <c r="H41" s="23"/>
      <c r="I41" s="23"/>
      <c r="N41" s="18"/>
      <c r="O41" s="18"/>
      <c r="P41" s="18"/>
      <c r="Q41" s="18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2:39" x14ac:dyDescent="0.2">
      <c r="B42" s="8" t="s">
        <v>57</v>
      </c>
      <c r="C42" s="10">
        <v>100</v>
      </c>
      <c r="D42" s="11" t="s">
        <v>12</v>
      </c>
      <c r="E42" s="9">
        <v>360</v>
      </c>
      <c r="F42" s="23"/>
      <c r="G42" s="23"/>
      <c r="H42" s="23"/>
      <c r="I42" s="23"/>
      <c r="N42" s="18"/>
      <c r="O42" s="18"/>
      <c r="P42" s="18"/>
      <c r="Q42" s="18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2:39" x14ac:dyDescent="0.2">
      <c r="B43" s="13" t="s">
        <v>58</v>
      </c>
      <c r="C43" s="20">
        <v>10000</v>
      </c>
      <c r="D43" s="21" t="s">
        <v>7</v>
      </c>
      <c r="E43" s="14">
        <v>365</v>
      </c>
      <c r="F43" s="23"/>
      <c r="G43" s="23"/>
      <c r="H43" s="23"/>
      <c r="I43" s="23"/>
      <c r="N43" s="18"/>
      <c r="O43" s="18"/>
      <c r="P43" s="18"/>
      <c r="Q43" s="18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2:39" x14ac:dyDescent="0.2">
      <c r="B44" s="3"/>
      <c r="C44" s="23"/>
      <c r="D44" s="24"/>
      <c r="E44" s="23"/>
      <c r="F44" s="23"/>
      <c r="G44" s="23"/>
      <c r="H44" s="23"/>
      <c r="I44" s="23"/>
      <c r="N44" s="18"/>
      <c r="O44" s="18"/>
      <c r="P44" s="18"/>
      <c r="Q44" s="18"/>
    </row>
    <row r="45" spans="2:39" x14ac:dyDescent="0.2">
      <c r="N45" s="18"/>
      <c r="O45" s="18"/>
      <c r="P45" s="18"/>
      <c r="Q45" s="18"/>
    </row>
    <row r="46" spans="2:39" x14ac:dyDescent="0.2">
      <c r="N46" s="18"/>
      <c r="O46" s="18"/>
      <c r="P46" s="18"/>
      <c r="Q46" s="18"/>
    </row>
    <row r="47" spans="2:39" x14ac:dyDescent="0.2">
      <c r="N47" s="18"/>
      <c r="O47" s="18"/>
      <c r="P47" s="18"/>
      <c r="Q47" s="18"/>
    </row>
    <row r="48" spans="2:39" x14ac:dyDescent="0.2">
      <c r="N48" s="18"/>
      <c r="O48" s="18"/>
      <c r="P48" s="18"/>
      <c r="Q48" s="18"/>
    </row>
    <row r="49" spans="14:17" x14ac:dyDescent="0.2">
      <c r="N49" s="18"/>
      <c r="O49" s="18"/>
      <c r="P49" s="18"/>
      <c r="Q49" s="18"/>
    </row>
    <row r="50" spans="14:17" x14ac:dyDescent="0.2">
      <c r="N50" s="18"/>
      <c r="O50" s="18"/>
      <c r="P50" s="18"/>
      <c r="Q50" s="18"/>
    </row>
    <row r="51" spans="14:17" x14ac:dyDescent="0.2">
      <c r="N51" s="18"/>
      <c r="O51" s="18"/>
      <c r="P51" s="18"/>
      <c r="Q51" s="18"/>
    </row>
    <row r="52" spans="14:17" x14ac:dyDescent="0.2">
      <c r="N52" s="18"/>
      <c r="O52" s="18"/>
      <c r="P52" s="18"/>
      <c r="Q52" s="18"/>
    </row>
    <row r="53" spans="14:17" x14ac:dyDescent="0.2">
      <c r="N53" s="18"/>
      <c r="O53" s="18"/>
      <c r="P53" s="18"/>
      <c r="Q53" s="18"/>
    </row>
  </sheetData>
  <phoneticPr fontId="0" type="noConversion"/>
  <pageMargins left="0.75" right="0.75" top="1" bottom="1" header="0.5" footer="0.5"/>
  <pageSetup orientation="portrait" horizont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6"/>
  <dimension ref="B2:AA72"/>
  <sheetViews>
    <sheetView topLeftCell="A7" workbookViewId="0">
      <selection activeCell="C38" sqref="C38"/>
    </sheetView>
  </sheetViews>
  <sheetFormatPr defaultRowHeight="12.75" x14ac:dyDescent="0.2"/>
  <cols>
    <col min="2" max="2" width="13.5703125" bestFit="1" customWidth="1"/>
    <col min="3" max="3" width="9.7109375" bestFit="1" customWidth="1"/>
    <col min="7" max="7" width="13.42578125" bestFit="1" customWidth="1"/>
    <col min="8" max="8" width="11.28515625" bestFit="1" customWidth="1"/>
    <col min="10" max="10" width="12" bestFit="1" customWidth="1"/>
    <col min="11" max="11" width="10" bestFit="1" customWidth="1"/>
    <col min="12" max="12" width="20.5703125" bestFit="1" customWidth="1"/>
    <col min="16" max="16" width="16.5703125" bestFit="1" customWidth="1"/>
    <col min="17" max="17" width="17" customWidth="1"/>
    <col min="18" max="18" width="13.85546875" customWidth="1"/>
    <col min="19" max="19" width="9.140625" bestFit="1" customWidth="1"/>
    <col min="20" max="20" width="10.7109375" bestFit="1" customWidth="1"/>
    <col min="21" max="21" width="13.5703125" bestFit="1" customWidth="1"/>
    <col min="22" max="22" width="14.85546875" bestFit="1" customWidth="1"/>
    <col min="23" max="23" width="11.85546875" bestFit="1" customWidth="1"/>
    <col min="24" max="24" width="9.140625" bestFit="1" customWidth="1"/>
    <col min="25" max="25" width="10.7109375" bestFit="1" customWidth="1"/>
    <col min="26" max="26" width="11.42578125" bestFit="1" customWidth="1"/>
    <col min="27" max="27" width="11" bestFit="1" customWidth="1"/>
    <col min="28" max="28" width="10.42578125" bestFit="1" customWidth="1"/>
  </cols>
  <sheetData>
    <row r="2" spans="2:13" x14ac:dyDescent="0.2">
      <c r="C2" t="s">
        <v>95</v>
      </c>
      <c r="G2" t="s">
        <v>188</v>
      </c>
      <c r="H2">
        <v>80</v>
      </c>
    </row>
    <row r="3" spans="2:13" x14ac:dyDescent="0.2">
      <c r="B3" t="s">
        <v>142</v>
      </c>
      <c r="C3" t="s">
        <v>186</v>
      </c>
      <c r="H3" t="s">
        <v>95</v>
      </c>
    </row>
    <row r="4" spans="2:13" x14ac:dyDescent="0.2">
      <c r="B4" t="s">
        <v>63</v>
      </c>
      <c r="C4" s="61">
        <v>41340</v>
      </c>
      <c r="D4" s="61">
        <f>WORKDAY(C4,2)</f>
        <v>41344</v>
      </c>
      <c r="G4" t="s">
        <v>142</v>
      </c>
      <c r="H4" t="s">
        <v>186</v>
      </c>
    </row>
    <row r="5" spans="2:13" x14ac:dyDescent="0.2">
      <c r="B5" t="s">
        <v>64</v>
      </c>
      <c r="C5" s="61">
        <v>41430</v>
      </c>
      <c r="D5" s="61">
        <f>WORKDAY(C5,2)</f>
        <v>41432</v>
      </c>
      <c r="G5" t="s">
        <v>63</v>
      </c>
      <c r="H5" s="61">
        <v>41340</v>
      </c>
    </row>
    <row r="6" spans="2:13" x14ac:dyDescent="0.2">
      <c r="B6" t="s">
        <v>65</v>
      </c>
      <c r="C6" s="97">
        <f>StrikeImpliedByDelta(C3,(C5-C4)/365,C8,1/(1+C9*(D5-D4)/365),1/(1+C9*(D5-D4)/365),C11,0.25,C12)</f>
        <v>113.98252701652383</v>
      </c>
      <c r="G6" t="s">
        <v>64</v>
      </c>
      <c r="H6" s="61">
        <f>H5+30*3</f>
        <v>41430</v>
      </c>
    </row>
    <row r="7" spans="2:13" x14ac:dyDescent="0.2">
      <c r="B7" t="s">
        <v>66</v>
      </c>
      <c r="C7" s="57">
        <f>$L$14</f>
        <v>110</v>
      </c>
      <c r="G7" t="s">
        <v>65</v>
      </c>
      <c r="H7" s="57">
        <v>100</v>
      </c>
    </row>
    <row r="8" spans="2:13" x14ac:dyDescent="0.2">
      <c r="B8" t="s">
        <v>67</v>
      </c>
      <c r="C8" s="57">
        <f>$L$15</f>
        <v>110</v>
      </c>
      <c r="G8" t="s">
        <v>187</v>
      </c>
      <c r="H8" s="57">
        <v>120</v>
      </c>
      <c r="K8" t="s">
        <v>217</v>
      </c>
      <c r="L8" s="54">
        <v>0.1</v>
      </c>
    </row>
    <row r="9" spans="2:13" x14ac:dyDescent="0.2">
      <c r="B9" t="s">
        <v>143</v>
      </c>
      <c r="C9" s="55">
        <v>0.05</v>
      </c>
      <c r="G9" t="s">
        <v>66</v>
      </c>
      <c r="H9" s="57">
        <f>$L$14</f>
        <v>110</v>
      </c>
      <c r="K9" t="s">
        <v>70</v>
      </c>
      <c r="L9" s="54">
        <v>-5.0000000000000001E-3</v>
      </c>
      <c r="M9" s="54">
        <v>-5.0000000000000001E-3</v>
      </c>
    </row>
    <row r="10" spans="2:13" x14ac:dyDescent="0.2">
      <c r="B10" t="s">
        <v>144</v>
      </c>
      <c r="C10" t="s">
        <v>53</v>
      </c>
      <c r="G10" t="s">
        <v>67</v>
      </c>
      <c r="H10" s="57">
        <f>$L$15</f>
        <v>110</v>
      </c>
      <c r="K10" t="s">
        <v>71</v>
      </c>
      <c r="L10" s="54">
        <v>0.01</v>
      </c>
    </row>
    <row r="11" spans="2:13" x14ac:dyDescent="0.2">
      <c r="B11" t="s">
        <v>145</v>
      </c>
      <c r="C11" s="54">
        <f>L11</f>
        <v>0.1075</v>
      </c>
      <c r="G11" t="s">
        <v>143</v>
      </c>
      <c r="H11" s="55">
        <v>0.05</v>
      </c>
      <c r="K11" t="s">
        <v>218</v>
      </c>
      <c r="L11" s="71">
        <f>L8+L9/2+L10</f>
        <v>0.1075</v>
      </c>
    </row>
    <row r="12" spans="2:13" x14ac:dyDescent="0.2">
      <c r="B12" t="s">
        <v>147</v>
      </c>
      <c r="C12" t="s">
        <v>159</v>
      </c>
      <c r="G12" t="s">
        <v>144</v>
      </c>
      <c r="H12" s="74" t="s">
        <v>53</v>
      </c>
      <c r="K12" t="s">
        <v>219</v>
      </c>
      <c r="L12" s="71">
        <f>L11-L9</f>
        <v>0.1125</v>
      </c>
    </row>
    <row r="13" spans="2:13" x14ac:dyDescent="0.2">
      <c r="B13" t="s">
        <v>138</v>
      </c>
      <c r="C13" s="58">
        <f>Vanilla(C2,C3,C4,C5,C6,C7,C8,C9,C10,C11,$B13,C12)</f>
        <v>0.2499587102938452</v>
      </c>
      <c r="G13" t="s">
        <v>215</v>
      </c>
      <c r="H13" s="75">
        <f>H11</f>
        <v>0.05</v>
      </c>
    </row>
    <row r="14" spans="2:13" x14ac:dyDescent="0.2">
      <c r="B14" t="s">
        <v>149</v>
      </c>
      <c r="C14" s="58">
        <f>Vanilla(C2,C3,C4,C5,C6,C7,C8,C9,C10,C11,$B14,C12)</f>
        <v>6.01768985745861E-2</v>
      </c>
      <c r="G14" t="s">
        <v>145</v>
      </c>
      <c r="H14" s="76">
        <f>L8</f>
        <v>0.1</v>
      </c>
      <c r="K14" t="s">
        <v>66</v>
      </c>
      <c r="L14">
        <v>110</v>
      </c>
    </row>
    <row r="15" spans="2:13" x14ac:dyDescent="0.2">
      <c r="B15" t="s">
        <v>137</v>
      </c>
      <c r="C15" s="59">
        <f>Vanilla(C2,C3,C4,C5,C6,C7,C8,C9,C10,C11,$B15,C12)</f>
        <v>8.1164881681640606E-3</v>
      </c>
      <c r="G15" t="s">
        <v>146</v>
      </c>
      <c r="H15" s="74" t="s">
        <v>138</v>
      </c>
      <c r="K15" t="s">
        <v>67</v>
      </c>
      <c r="L15">
        <f>ForwardFromDepos(H3,H9,H11,H13,WORKDAY(H5,2),WORKDAY(H6,2))</f>
        <v>110</v>
      </c>
    </row>
    <row r="16" spans="2:13" x14ac:dyDescent="0.2">
      <c r="B16" s="65">
        <v>50000000</v>
      </c>
      <c r="C16" s="69">
        <f>C14*$B16</f>
        <v>3008844.928729305</v>
      </c>
      <c r="G16" t="s">
        <v>147</v>
      </c>
      <c r="H16" s="74" t="s">
        <v>159</v>
      </c>
    </row>
    <row r="17" spans="2:27" x14ac:dyDescent="0.2">
      <c r="B17" t="s">
        <v>259</v>
      </c>
      <c r="C17" s="72">
        <f>Vanilla(C2,C3,C4,C5,C6,C7,C8,C9,C10,L8,$B15,C12)</f>
        <v>6.9398171873890444E-3</v>
      </c>
      <c r="G17" t="s">
        <v>138</v>
      </c>
      <c r="H17" s="58">
        <f>KnockOut(H3,H4,H5,H6,H7,H9,H10,H11,H12,H14,H8,H2,$G17,H16)</f>
        <v>0.28373040506728453</v>
      </c>
      <c r="J17">
        <v>5.0000000000000001E-4</v>
      </c>
      <c r="K17">
        <v>-5.0000000000000001E-4</v>
      </c>
    </row>
    <row r="18" spans="2:27" x14ac:dyDescent="0.2">
      <c r="G18" t="s">
        <v>158</v>
      </c>
      <c r="H18" s="58">
        <f>KnockOut(H3,H4,H5,H6,H7,H9,H10,H11,H12,H14,H8,H2,$G18,H16)</f>
        <v>-4.8820098249938385E-3</v>
      </c>
      <c r="J18" t="s">
        <v>260</v>
      </c>
      <c r="K18" t="s">
        <v>261</v>
      </c>
      <c r="P18" s="148" t="s">
        <v>274</v>
      </c>
      <c r="Q18" s="149"/>
    </row>
    <row r="19" spans="2:27" x14ac:dyDescent="0.2">
      <c r="C19" t="s">
        <v>95</v>
      </c>
      <c r="G19" t="s">
        <v>157</v>
      </c>
      <c r="H19" s="98">
        <f>volga("KO",H3,H12,H4,H5,H6,H7,H9,H10,H11,H12,H14,H8,0,H2,0,0,0,0,H16)</f>
        <v>-4.450234083660902E-4</v>
      </c>
      <c r="I19" t="b">
        <f>H19&lt;0</f>
        <v>1</v>
      </c>
      <c r="J19" s="98">
        <f>KnockOut(H3,H4,H5,H6,H7,H9,H10,H11,H12,H14+J17,H8,H2,$G18,H16)</f>
        <v>-4.9038603656626333E-3</v>
      </c>
      <c r="K19" s="98">
        <f>KnockOut(H3,H4,H5,H6,H7,H9,H10,H11,H12,H14+K17,H8,H2,$G18,H16)</f>
        <v>-4.859355350730038E-3</v>
      </c>
      <c r="P19" s="118" t="s">
        <v>239</v>
      </c>
      <c r="Q19" s="142">
        <v>41340</v>
      </c>
    </row>
    <row r="20" spans="2:27" x14ac:dyDescent="0.2">
      <c r="B20" t="s">
        <v>142</v>
      </c>
      <c r="C20" t="s">
        <v>189</v>
      </c>
      <c r="G20" t="s">
        <v>216</v>
      </c>
      <c r="H20" s="58">
        <f>vanna("KO",H3,H12,H4,H5,H6,H7,H9,H10,H11,H12,H14,H8,0,H2,0,0,0,0,H16)</f>
        <v>-0.13208262500052359</v>
      </c>
      <c r="K20" s="59">
        <f>(J19-K19)/(J17-K17)/100</f>
        <v>-4.450501493259533E-4</v>
      </c>
      <c r="P20" s="111" t="s">
        <v>240</v>
      </c>
      <c r="Q20" s="143">
        <v>41430</v>
      </c>
    </row>
    <row r="21" spans="2:27" x14ac:dyDescent="0.2">
      <c r="B21" t="s">
        <v>63</v>
      </c>
      <c r="C21" s="61">
        <v>41340</v>
      </c>
      <c r="D21" s="61">
        <f>WORKDAY(C21,2)</f>
        <v>41344</v>
      </c>
      <c r="G21" t="s">
        <v>149</v>
      </c>
      <c r="H21" s="58">
        <f>KnockOut(H3,H4,H5,H6,H7,H9,H10,H11,H12,H14,H8,H2,$G21,H16)</f>
        <v>-0.19799262068030571</v>
      </c>
      <c r="L21" t="s">
        <v>226</v>
      </c>
      <c r="P21" s="109" t="s">
        <v>241</v>
      </c>
      <c r="Q21" s="144">
        <v>110</v>
      </c>
    </row>
    <row r="22" spans="2:27" x14ac:dyDescent="0.2">
      <c r="B22" t="s">
        <v>64</v>
      </c>
      <c r="C22" s="61">
        <v>41430</v>
      </c>
      <c r="D22" s="61">
        <f>WORKDAY(C22,2)</f>
        <v>41432</v>
      </c>
      <c r="G22" t="s">
        <v>137</v>
      </c>
      <c r="H22" s="58">
        <f>KnockOut(H3,H4,H5,H6,H7,H9,H10,H11,H12,H14,H8,H2,$G22,H16)</f>
        <v>7.6594708541123074E-2</v>
      </c>
      <c r="L22" t="s">
        <v>227</v>
      </c>
      <c r="P22" s="111" t="s">
        <v>242</v>
      </c>
      <c r="Q22" s="145">
        <v>110</v>
      </c>
    </row>
    <row r="23" spans="2:27" x14ac:dyDescent="0.2">
      <c r="B23" t="s">
        <v>65</v>
      </c>
      <c r="C23" s="97">
        <f>StrikeImpliedByDelta(C20,(C22-C21)/365,C25,1/(1+C26*(D22-D21)/365),1/(1+C26*(D22-D21)/365),C28,0.25,C29)</f>
        <v>105.99812308472085</v>
      </c>
      <c r="G23" s="65">
        <v>100000000</v>
      </c>
      <c r="H23" s="69">
        <f>H17*$G23</f>
        <v>28373040.506728452</v>
      </c>
      <c r="P23" s="118" t="s">
        <v>243</v>
      </c>
      <c r="Q23" s="137">
        <v>0</v>
      </c>
    </row>
    <row r="24" spans="2:27" x14ac:dyDescent="0.2">
      <c r="B24" t="s">
        <v>66</v>
      </c>
      <c r="C24" s="57">
        <f>$L$14</f>
        <v>110</v>
      </c>
      <c r="G24" t="s">
        <v>192</v>
      </c>
      <c r="H24" s="69">
        <f>H21*$G23</f>
        <v>-19799262.06803057</v>
      </c>
      <c r="P24" s="111" t="s">
        <v>215</v>
      </c>
      <c r="Q24" s="138">
        <v>0</v>
      </c>
    </row>
    <row r="25" spans="2:27" x14ac:dyDescent="0.2">
      <c r="B25" t="s">
        <v>67</v>
      </c>
      <c r="C25" s="57">
        <f>$L$15</f>
        <v>110</v>
      </c>
      <c r="P25" s="109" t="s">
        <v>244</v>
      </c>
      <c r="Q25" s="139">
        <v>0.1</v>
      </c>
    </row>
    <row r="26" spans="2:27" x14ac:dyDescent="0.2">
      <c r="B26" t="s">
        <v>143</v>
      </c>
      <c r="C26" s="55">
        <v>0.05</v>
      </c>
      <c r="P26" s="111" t="s">
        <v>245</v>
      </c>
      <c r="Q26" s="138">
        <f>L9</f>
        <v>-5.0000000000000001E-3</v>
      </c>
    </row>
    <row r="27" spans="2:27" x14ac:dyDescent="0.2">
      <c r="B27" t="s">
        <v>144</v>
      </c>
      <c r="C27" t="s">
        <v>53</v>
      </c>
      <c r="P27" s="118" t="s">
        <v>246</v>
      </c>
      <c r="Q27" s="139">
        <v>0.01</v>
      </c>
    </row>
    <row r="28" spans="2:27" x14ac:dyDescent="0.2">
      <c r="B28" t="s">
        <v>145</v>
      </c>
      <c r="C28" s="54">
        <f>L12</f>
        <v>0.1125</v>
      </c>
      <c r="G28" t="s">
        <v>194</v>
      </c>
      <c r="H28" s="69">
        <f>H24+C36</f>
        <v>-19568197.518433277</v>
      </c>
      <c r="J28">
        <v>100</v>
      </c>
      <c r="K28">
        <f>volga("KO",H3,H12,H4,H5,H6,H7,J28,H10,H11,H12,H14,H8,0,H2,0,0,0,0,H16)</f>
        <v>-4.2203209860451271E-4</v>
      </c>
      <c r="P28" s="140" t="s">
        <v>263</v>
      </c>
      <c r="Q28" s="141">
        <f>L36</f>
        <v>0.9177510938509752</v>
      </c>
    </row>
    <row r="29" spans="2:27" x14ac:dyDescent="0.2">
      <c r="B29" t="s">
        <v>147</v>
      </c>
      <c r="C29" t="s">
        <v>159</v>
      </c>
      <c r="J29">
        <v>102</v>
      </c>
      <c r="K29">
        <f>volga("KO",H3,H12,H4,H5,H6,H7,J29,H10,H11,H12,H14,H8,0,H2,0,0,0,0,H16)</f>
        <v>-4.30004451350708E-4</v>
      </c>
      <c r="P29" s="74"/>
    </row>
    <row r="30" spans="2:27" x14ac:dyDescent="0.2">
      <c r="B30" t="s">
        <v>138</v>
      </c>
      <c r="C30" s="58">
        <f>Vanilla(C19,C20,C21,C22,C23,C24,C25,C26,C27,C28,$B30,C29)</f>
        <v>-0.24995872752273743</v>
      </c>
      <c r="J30">
        <v>104</v>
      </c>
      <c r="K30">
        <f>volga("KO",H3,H12,H4,H5,H6,H7,J30,H10,H11,H12,H14,H8,0,H2,0,0,0,0,H16)</f>
        <v>-4.3977850788809794E-4</v>
      </c>
    </row>
    <row r="31" spans="2:27" x14ac:dyDescent="0.2">
      <c r="B31" t="s">
        <v>149</v>
      </c>
      <c r="C31" s="58">
        <f>Vanilla(C19,C20,C21,C22,C23,C24,C25,C26,C27,C28,$B31,C29)</f>
        <v>5.5555607582640262E-2</v>
      </c>
      <c r="F31" s="57">
        <f>H51</f>
        <v>105.99887810575312</v>
      </c>
      <c r="G31" s="65">
        <f>G23*H52</f>
        <v>8482742.4120964333</v>
      </c>
      <c r="J31">
        <v>106</v>
      </c>
      <c r="K31">
        <f>volga("KO",H3,H12,H4,H5,H6,H7,J31,H10,H11,H12,H14,H8,0,H2,0,0,0,0,H16)</f>
        <v>-4.4957096833548107E-4</v>
      </c>
      <c r="O31" s="123" t="s">
        <v>237</v>
      </c>
      <c r="Q31" s="124" t="s">
        <v>190</v>
      </c>
      <c r="R31" s="124" t="s">
        <v>247</v>
      </c>
      <c r="S31" s="124" t="s">
        <v>255</v>
      </c>
      <c r="T31" s="124" t="s">
        <v>248</v>
      </c>
      <c r="U31" s="124" t="s">
        <v>251</v>
      </c>
      <c r="V31" s="124" t="s">
        <v>252</v>
      </c>
      <c r="W31" s="124" t="s">
        <v>262</v>
      </c>
      <c r="X31" s="124" t="s">
        <v>233</v>
      </c>
      <c r="Y31" s="124" t="s">
        <v>257</v>
      </c>
      <c r="Z31" s="124" t="s">
        <v>258</v>
      </c>
      <c r="AA31" s="125" t="s">
        <v>265</v>
      </c>
    </row>
    <row r="32" spans="2:27" x14ac:dyDescent="0.2">
      <c r="B32" t="s">
        <v>137</v>
      </c>
      <c r="C32" s="59">
        <f>Vanilla(C19,C20,C21,C22,C23,C24,C25,C26,C27,C28,$B32,C29)</f>
        <v>8.2302079758668541E-3</v>
      </c>
      <c r="F32" s="57">
        <f>H58</f>
        <v>113.98170981653021</v>
      </c>
      <c r="G32" s="65">
        <f>G23*H59</f>
        <v>669199762.01759923</v>
      </c>
      <c r="J32">
        <v>108</v>
      </c>
      <c r="K32">
        <f>volga("KO",H3,H12,H4,H5,H6,H7,J28,H10,H11,H12,H14,H8,0,H2,0,0,0,0,H16)</f>
        <v>-4.2203209860451271E-4</v>
      </c>
      <c r="O32" s="118" t="s">
        <v>238</v>
      </c>
      <c r="Q32" s="119">
        <v>100000000</v>
      </c>
      <c r="R32" s="120">
        <f>H67</f>
        <v>0.1</v>
      </c>
      <c r="S32" s="120"/>
      <c r="T32" s="99"/>
      <c r="U32" s="120">
        <f>H43</f>
        <v>7.6594708541123074E-2</v>
      </c>
      <c r="V32" s="120">
        <f>H44</f>
        <v>6.9221468723949603E-2</v>
      </c>
      <c r="W32" s="119">
        <f>(V32-U32)*Q32</f>
        <v>-737323.98171734717</v>
      </c>
      <c r="X32" s="119">
        <f>Q32*H18</f>
        <v>-488200.98249938386</v>
      </c>
      <c r="Y32" s="121">
        <f>H48*Q32</f>
        <v>-13208262.500052359</v>
      </c>
      <c r="Z32" s="119">
        <f>H47*Q32</f>
        <v>-44502.340836609023</v>
      </c>
      <c r="AA32" s="122">
        <f>Z32/Q32</f>
        <v>-4.4502340836609025E-4</v>
      </c>
    </row>
    <row r="33" spans="2:27" x14ac:dyDescent="0.2">
      <c r="B33" s="65">
        <f>-B16</f>
        <v>-50000000</v>
      </c>
      <c r="C33" s="69">
        <f>C31*$B33</f>
        <v>-2777780.3791320133</v>
      </c>
      <c r="F33" s="57">
        <f>H65</f>
        <v>109.86446712647293</v>
      </c>
      <c r="G33" s="65">
        <f>G23*H66</f>
        <v>-303071579.18629223</v>
      </c>
      <c r="J33">
        <v>110</v>
      </c>
      <c r="K33">
        <f>volga("KO",H3,H12,H4,H5,H6,H7,J28,H10,H11,H12,H14,H8,0,H2,0,0,0,0,H16)</f>
        <v>-4.2203209860451271E-4</v>
      </c>
      <c r="O33" s="111" t="s">
        <v>250</v>
      </c>
      <c r="Q33" s="102">
        <f>G31</f>
        <v>8482742.4120964333</v>
      </c>
      <c r="R33" s="103">
        <f>H53</f>
        <v>0.1125</v>
      </c>
      <c r="S33" s="104">
        <f>D42</f>
        <v>105.99812308472085</v>
      </c>
      <c r="T33" s="105">
        <f>C30</f>
        <v>-0.24995872752273743</v>
      </c>
      <c r="U33" s="103">
        <f>D43</f>
        <v>6.3557430120599516E-3</v>
      </c>
      <c r="V33" s="103">
        <f>D43+H54</f>
        <v>8.2303928121749172E-3</v>
      </c>
      <c r="W33" s="102">
        <f>(V33-U33)*Q33*Q28</f>
        <v>14594.235166911569</v>
      </c>
      <c r="X33" s="102">
        <f>H55*$Q$33</f>
        <v>13073.8839848471</v>
      </c>
      <c r="Y33" s="102">
        <f>H57*$Q$33</f>
        <v>-161655.09346623468</v>
      </c>
      <c r="Z33" s="102">
        <f>H56*$Q$33</f>
        <v>510.32466268890795</v>
      </c>
      <c r="AA33" s="112">
        <f>Z33/Q33</f>
        <v>6.0160339415845331E-5</v>
      </c>
    </row>
    <row r="34" spans="2:27" x14ac:dyDescent="0.2">
      <c r="J34">
        <v>112</v>
      </c>
      <c r="K34">
        <f>volga("KO",H3,H12,H4,H5,H6,H7,J28,H10,H11,H12,H14,H8,0,H2,0,0,0,0,H16)</f>
        <v>-4.2203209860451271E-4</v>
      </c>
      <c r="O34" s="109" t="s">
        <v>249</v>
      </c>
      <c r="Q34" s="100">
        <f>G32</f>
        <v>669199762.01759923</v>
      </c>
      <c r="R34" s="101">
        <f>H60</f>
        <v>0.10750000000000001</v>
      </c>
      <c r="S34" s="106">
        <f>C42</f>
        <v>113.98252701652383</v>
      </c>
      <c r="T34" s="107">
        <f>C13</f>
        <v>0.2499587102938452</v>
      </c>
      <c r="U34" s="101">
        <f>C43</f>
        <v>6.9398171873890444E-3</v>
      </c>
      <c r="V34" s="101">
        <f>C43+H61</f>
        <v>8.1165970862529697E-3</v>
      </c>
      <c r="W34" s="100">
        <f>(V34-U34)*Q34*Q28</f>
        <v>722729.7465504352</v>
      </c>
      <c r="X34" s="100">
        <f>H62*$G$32</f>
        <v>1067532.215492456</v>
      </c>
      <c r="Y34" s="100">
        <f>H64*$G$32</f>
        <v>12777804.582068078</v>
      </c>
      <c r="Z34" s="100">
        <f>H63*$G$32</f>
        <v>43992.016192176627</v>
      </c>
      <c r="AA34" s="110">
        <f>Z34/Q34</f>
        <v>6.5738242433833506E-5</v>
      </c>
    </row>
    <row r="35" spans="2:27" x14ac:dyDescent="0.2">
      <c r="B35" t="s">
        <v>191</v>
      </c>
      <c r="C35" s="57">
        <f>C7</f>
        <v>110</v>
      </c>
      <c r="L35" s="58">
        <f>OneTouch(H3,H12,H5,H6,H9,H10,H11,H12,H14,H8,H2,G22,H16)</f>
        <v>8.2248906149024803E-2</v>
      </c>
      <c r="O35" s="111" t="s">
        <v>256</v>
      </c>
      <c r="Q35" s="102">
        <f>G33</f>
        <v>-303071579.18629223</v>
      </c>
      <c r="R35" s="103">
        <f>H67</f>
        <v>0.1</v>
      </c>
      <c r="S35" s="104">
        <f>hedged_RKO_centered!C7</f>
        <v>109.86446712647293</v>
      </c>
      <c r="T35" s="105">
        <v>0</v>
      </c>
      <c r="U35" s="103">
        <f>2*hedged_RKO_centered!H16</f>
        <v>2.4741956132500607E-2</v>
      </c>
      <c r="V35" s="103">
        <f>U35</f>
        <v>2.4741956132500607E-2</v>
      </c>
      <c r="W35" s="102">
        <f>(V35-U35)*Q35</f>
        <v>0</v>
      </c>
      <c r="X35" s="108">
        <f>H69*$Q$35</f>
        <v>-592405.11697791913</v>
      </c>
      <c r="Y35" s="108">
        <f>H71*$Q$35</f>
        <v>592113.01145051525</v>
      </c>
      <c r="Z35" s="108">
        <f>H70*$Q$35</f>
        <v>-1.8256508435642024E-5</v>
      </c>
      <c r="AA35" s="113"/>
    </row>
    <row r="36" spans="2:27" x14ac:dyDescent="0.2">
      <c r="B36" t="s">
        <v>193</v>
      </c>
      <c r="C36" s="65">
        <f>C16+C33</f>
        <v>231064.54959729174</v>
      </c>
      <c r="L36" s="54">
        <f>1-L35</f>
        <v>0.9177510938509752</v>
      </c>
      <c r="O36" s="114" t="s">
        <v>264</v>
      </c>
      <c r="Q36" s="115"/>
      <c r="R36" s="115"/>
      <c r="S36" s="115"/>
      <c r="T36" s="115"/>
      <c r="U36" s="115"/>
      <c r="V36" s="115"/>
      <c r="W36" s="116">
        <f>SUM(W32:W35)</f>
        <v>-3.4924596548080444E-10</v>
      </c>
      <c r="X36" s="116">
        <f>SUM(X32:X35)</f>
        <v>0</v>
      </c>
      <c r="Y36" s="116">
        <f>SUM(Y32:Y35)</f>
        <v>0</v>
      </c>
      <c r="Z36" s="116">
        <f>SUM(Z32:Z35)</f>
        <v>4.2677320045167531E-12</v>
      </c>
      <c r="AA36" s="117"/>
    </row>
    <row r="37" spans="2:27" x14ac:dyDescent="0.2">
      <c r="C37" s="65"/>
      <c r="V37" s="72"/>
    </row>
    <row r="38" spans="2:27" x14ac:dyDescent="0.2">
      <c r="B38" t="s">
        <v>259</v>
      </c>
      <c r="C38" s="72">
        <f>Vanilla(C19,C20,C21,C22,C23,C24,C25,C26,C27,L8,$B32,C29)</f>
        <v>6.3557430120599516E-3</v>
      </c>
      <c r="Q38">
        <f>Q34/Q35</f>
        <v>-2.2080584521132387</v>
      </c>
      <c r="V38" s="72"/>
    </row>
    <row r="39" spans="2:27" x14ac:dyDescent="0.2">
      <c r="C39" s="65"/>
      <c r="V39" s="72"/>
    </row>
    <row r="40" spans="2:27" x14ac:dyDescent="0.2">
      <c r="C40" s="72"/>
      <c r="V40" s="72"/>
    </row>
    <row r="41" spans="2:27" x14ac:dyDescent="0.2">
      <c r="C41" s="85" t="s">
        <v>253</v>
      </c>
      <c r="D41" s="74" t="s">
        <v>254</v>
      </c>
      <c r="P41" s="86">
        <f>OTCexotics("KO",H3,"USD",H4,H5,H6,H7,H9,H2,H8,0,H6,0,0,H11,H13,H11,0,L8,L9,L10,H16)</f>
        <v>7.6594708541123074E-2</v>
      </c>
    </row>
    <row r="42" spans="2:27" x14ac:dyDescent="0.2">
      <c r="C42" s="97">
        <f>C6</f>
        <v>113.98252701652383</v>
      </c>
      <c r="D42" s="97">
        <f>C23</f>
        <v>105.99812308472085</v>
      </c>
    </row>
    <row r="43" spans="2:27" x14ac:dyDescent="0.2">
      <c r="B43" t="s">
        <v>220</v>
      </c>
      <c r="C43" s="59">
        <f t="array" ref="C43:C71">TRANSPOSE(OTCexotics("Vanilla",C2,"USD",C3,C4,C5,C6,C7,C7,1000,0,0,0,C10,C9,C9,C9,C9,L8,L9,L10,C12))</f>
        <v>6.9398171873890444E-3</v>
      </c>
      <c r="D43" s="59">
        <f t="array" ref="D43:D71">TRANSPOSE(OTCexotics("Vanilla",C19,"USD",C20,C21,C22,C23,C24,C24,1000,0,0,0,C27,C26,C26,C26,C26,L8,$L$9,$L$10,C29))</f>
        <v>6.3557430120599516E-3</v>
      </c>
      <c r="G43" s="88" t="s">
        <v>220</v>
      </c>
      <c r="H43" s="89">
        <f t="array" ref="H43:H71">TRANSPOSE(OTCexotics("KO",H3,"USD",H4,H5,H6,H7,H9,H2,H8,0,H6,0,0,H11,H13,H11,0,H14,L9,L10,H16))</f>
        <v>7.6594708541123074E-2</v>
      </c>
      <c r="M43" s="59">
        <v>3.4898375126544284E-2</v>
      </c>
      <c r="N43" s="72">
        <f>M43-H43</f>
        <v>-4.169633341457879E-2</v>
      </c>
      <c r="Q43" s="123" t="s">
        <v>237</v>
      </c>
      <c r="R43" s="124" t="s">
        <v>190</v>
      </c>
      <c r="S43" s="124" t="s">
        <v>247</v>
      </c>
      <c r="T43" s="124" t="s">
        <v>255</v>
      </c>
      <c r="U43" s="124" t="s">
        <v>268</v>
      </c>
      <c r="V43" s="124" t="s">
        <v>252</v>
      </c>
      <c r="W43" s="125" t="s">
        <v>262</v>
      </c>
    </row>
    <row r="44" spans="2:27" x14ac:dyDescent="0.2">
      <c r="B44" t="s">
        <v>221</v>
      </c>
      <c r="C44" s="59">
        <v>8.3940646079343952E-3</v>
      </c>
      <c r="D44" s="59">
        <v>8.8225727350388413E-3</v>
      </c>
      <c r="G44" s="90" t="s">
        <v>221</v>
      </c>
      <c r="H44" s="91">
        <v>6.9221468723949603E-2</v>
      </c>
      <c r="M44" s="59">
        <v>3.6171752563137934E-2</v>
      </c>
      <c r="P44" s="118" t="s">
        <v>266</v>
      </c>
      <c r="Q44" s="118" t="s">
        <v>266</v>
      </c>
      <c r="R44" s="119">
        <f>Q32</f>
        <v>100000000</v>
      </c>
      <c r="S44" s="130">
        <f t="shared" ref="S44:T44" si="0">R32</f>
        <v>0.1</v>
      </c>
      <c r="T44" s="120">
        <f t="shared" si="0"/>
        <v>0</v>
      </c>
      <c r="U44" s="120">
        <f>U32</f>
        <v>7.6594708541123074E-2</v>
      </c>
      <c r="V44" s="120">
        <f t="shared" ref="V44:W44" si="1">V32</f>
        <v>6.9221468723949603E-2</v>
      </c>
      <c r="W44" s="133">
        <f t="shared" si="1"/>
        <v>-737323.98171734717</v>
      </c>
    </row>
    <row r="45" spans="2:27" x14ac:dyDescent="0.2">
      <c r="B45" s="64" t="s">
        <v>222</v>
      </c>
      <c r="C45" s="87">
        <v>1.4542474205453515E-3</v>
      </c>
      <c r="D45" s="87">
        <v>2.4668297229788901E-3</v>
      </c>
      <c r="G45" s="92" t="s">
        <v>222</v>
      </c>
      <c r="H45" s="91">
        <v>-7.3732398171734732E-3</v>
      </c>
      <c r="L45" s="58">
        <f>H45/M45</f>
        <v>-5.7903019209271234</v>
      </c>
      <c r="M45" s="59">
        <v>1.273377436593651E-3</v>
      </c>
      <c r="P45" s="111" t="s">
        <v>269</v>
      </c>
      <c r="Q45" s="111" t="s">
        <v>272</v>
      </c>
      <c r="R45" s="102">
        <f t="shared" ref="R45:T45" si="2">Q33</f>
        <v>8482742.4120964333</v>
      </c>
      <c r="S45" s="131">
        <f t="shared" si="2"/>
        <v>0.1125</v>
      </c>
      <c r="T45" s="104">
        <f t="shared" si="2"/>
        <v>105.99812308472085</v>
      </c>
      <c r="U45" s="103">
        <f t="shared" ref="U45:W45" si="3">U33</f>
        <v>6.3557430120599516E-3</v>
      </c>
      <c r="V45" s="103">
        <f t="shared" si="3"/>
        <v>8.2303928121749172E-3</v>
      </c>
      <c r="W45" s="134">
        <f t="shared" si="3"/>
        <v>14594.235166911569</v>
      </c>
    </row>
    <row r="46" spans="2:27" x14ac:dyDescent="0.2">
      <c r="B46" t="s">
        <v>158</v>
      </c>
      <c r="C46" s="59">
        <v>1.5410196259089952E-3</v>
      </c>
      <c r="D46" s="59">
        <v>1.4537237765303134E-3</v>
      </c>
      <c r="G46" s="90" t="s">
        <v>158</v>
      </c>
      <c r="H46" s="91">
        <v>-4.8820098249938385E-3</v>
      </c>
      <c r="J46">
        <f>H54*H52</f>
        <v>1.5902171367263327E-4</v>
      </c>
      <c r="L46" s="58">
        <f>1-L45</f>
        <v>6.7903019209271234</v>
      </c>
      <c r="M46" s="59">
        <v>-2.8145696337174091E-3</v>
      </c>
      <c r="P46" s="109" t="s">
        <v>270</v>
      </c>
      <c r="Q46" s="109" t="s">
        <v>273</v>
      </c>
      <c r="R46" s="100">
        <f t="shared" ref="R46:T46" si="4">Q34</f>
        <v>669199762.01759923</v>
      </c>
      <c r="S46" s="132">
        <f t="shared" si="4"/>
        <v>0.10750000000000001</v>
      </c>
      <c r="T46" s="106">
        <f t="shared" si="4"/>
        <v>113.98252701652383</v>
      </c>
      <c r="U46" s="101">
        <f t="shared" ref="U46:W46" si="5">U34</f>
        <v>6.9398171873890444E-3</v>
      </c>
      <c r="V46" s="101">
        <f t="shared" si="5"/>
        <v>8.1165970862529697E-3</v>
      </c>
      <c r="W46" s="135">
        <f t="shared" si="5"/>
        <v>722729.7465504352</v>
      </c>
    </row>
    <row r="47" spans="2:27" x14ac:dyDescent="0.2">
      <c r="B47" t="s">
        <v>157</v>
      </c>
      <c r="C47" s="59">
        <v>7.8954552006722453E-5</v>
      </c>
      <c r="D47" s="59">
        <v>8.0879479274239933E-5</v>
      </c>
      <c r="G47" s="90" t="s">
        <v>157</v>
      </c>
      <c r="H47" s="91">
        <v>-4.450234083660902E-4</v>
      </c>
      <c r="J47">
        <f>H59*H61</f>
        <v>7.8750082826683394E-3</v>
      </c>
      <c r="M47" s="59">
        <v>2.1302581466697661E-4</v>
      </c>
      <c r="P47" s="111" t="s">
        <v>267</v>
      </c>
      <c r="Q47" s="111" t="s">
        <v>267</v>
      </c>
      <c r="R47" s="102">
        <f t="shared" ref="R47:T47" si="6">Q35</f>
        <v>-303071579.18629223</v>
      </c>
      <c r="S47" s="131">
        <f t="shared" si="6"/>
        <v>0.1</v>
      </c>
      <c r="T47" s="104">
        <f t="shared" si="6"/>
        <v>109.86446712647293</v>
      </c>
      <c r="U47" s="103">
        <f t="shared" ref="U47:W47" si="7">U35</f>
        <v>2.4741956132500607E-2</v>
      </c>
      <c r="V47" s="103">
        <f t="shared" si="7"/>
        <v>2.4741956132500607E-2</v>
      </c>
      <c r="W47" s="134">
        <f t="shared" si="7"/>
        <v>0</v>
      </c>
    </row>
    <row r="48" spans="2:27" x14ac:dyDescent="0.2">
      <c r="B48" t="s">
        <v>216</v>
      </c>
      <c r="C48" s="59">
        <v>2.143966451989554E-2</v>
      </c>
      <c r="D48" s="59">
        <v>-2.2560005696223295E-2</v>
      </c>
      <c r="G48" s="90" t="s">
        <v>216</v>
      </c>
      <c r="H48" s="91">
        <v>-0.13208262500052359</v>
      </c>
      <c r="J48">
        <f>J47+J46</f>
        <v>8.0340299963409731E-3</v>
      </c>
      <c r="M48" s="59">
        <v>-1.5241685601566357E-2</v>
      </c>
      <c r="P48" s="114" t="s">
        <v>264</v>
      </c>
      <c r="Q48" s="114" t="s">
        <v>264</v>
      </c>
      <c r="R48" s="115"/>
      <c r="S48" s="115"/>
      <c r="T48" s="115"/>
      <c r="U48" s="115"/>
      <c r="V48" s="115"/>
      <c r="W48" s="136">
        <f>SUM(W44:W47)</f>
        <v>-3.4924596548080444E-10</v>
      </c>
    </row>
    <row r="49" spans="2:23" x14ac:dyDescent="0.2">
      <c r="B49" t="s">
        <v>8</v>
      </c>
      <c r="C49" s="59">
        <v>6.9398171873890444E-3</v>
      </c>
      <c r="D49" s="59">
        <v>6.3557430120599516E-3</v>
      </c>
      <c r="G49" s="90" t="s">
        <v>8</v>
      </c>
      <c r="H49" s="91">
        <v>9.0302859800446306E-2</v>
      </c>
      <c r="J49">
        <f>J48*Q28</f>
        <v>7.373239817173474E-3</v>
      </c>
      <c r="M49" s="59">
        <v>8.5029801727725909E-2</v>
      </c>
    </row>
    <row r="50" spans="2:23" x14ac:dyDescent="0.2">
      <c r="B50" t="s">
        <v>195</v>
      </c>
      <c r="C50" s="59">
        <v>0</v>
      </c>
      <c r="D50" s="59">
        <v>0</v>
      </c>
      <c r="G50" s="93" t="s">
        <v>195</v>
      </c>
      <c r="H50" s="94">
        <v>8.2248906149024803E-2</v>
      </c>
      <c r="M50" s="59">
        <v>0.30047871269047294</v>
      </c>
      <c r="Q50" s="123" t="s">
        <v>237</v>
      </c>
      <c r="R50" s="124" t="s">
        <v>190</v>
      </c>
      <c r="S50" s="124" t="s">
        <v>233</v>
      </c>
      <c r="T50" s="124" t="s">
        <v>257</v>
      </c>
      <c r="U50" s="124" t="s">
        <v>258</v>
      </c>
      <c r="V50" s="124" t="s">
        <v>271</v>
      </c>
      <c r="W50" s="125" t="s">
        <v>265</v>
      </c>
    </row>
    <row r="51" spans="2:23" x14ac:dyDescent="0.2">
      <c r="B51" s="88" t="s">
        <v>196</v>
      </c>
      <c r="C51" s="95">
        <v>105.99887810575312</v>
      </c>
      <c r="D51" s="95">
        <v>105.99887810575312</v>
      </c>
      <c r="E51" s="73">
        <f>D51-D42</f>
        <v>7.550210322762041E-4</v>
      </c>
      <c r="G51" s="88" t="s">
        <v>196</v>
      </c>
      <c r="H51" s="95">
        <v>105.99887810575312</v>
      </c>
      <c r="K51" s="73">
        <f>H51-C23</f>
        <v>7.550210322762041E-4</v>
      </c>
      <c r="M51" s="70">
        <v>101.19674558601801</v>
      </c>
      <c r="Q51" s="118" t="s">
        <v>266</v>
      </c>
      <c r="R51" s="119">
        <f>Q39</f>
        <v>0</v>
      </c>
      <c r="S51" s="119">
        <f t="shared" ref="S51:U54" si="8">X32</f>
        <v>-488200.98249938386</v>
      </c>
      <c r="T51" s="121">
        <f t="shared" si="8"/>
        <v>-13208262.500052359</v>
      </c>
      <c r="U51" s="119">
        <f t="shared" si="8"/>
        <v>-44502.340836609023</v>
      </c>
      <c r="V51" s="126">
        <f>T51/R44</f>
        <v>-0.13208262500052359</v>
      </c>
      <c r="W51" s="122">
        <f>U51/R44</f>
        <v>-4.4502340836609025E-4</v>
      </c>
    </row>
    <row r="52" spans="2:23" x14ac:dyDescent="0.2">
      <c r="B52" s="90" t="s">
        <v>199</v>
      </c>
      <c r="C52" s="96">
        <v>-5.1249115670456646E-2</v>
      </c>
      <c r="D52" s="96">
        <v>-1.2773990172456418</v>
      </c>
      <c r="G52" s="90" t="s">
        <v>199</v>
      </c>
      <c r="H52" s="96">
        <v>8.4827424120964334E-2</v>
      </c>
      <c r="M52" s="70">
        <v>-4.3002376727863068</v>
      </c>
      <c r="Q52" s="111" t="s">
        <v>272</v>
      </c>
      <c r="R52" s="102">
        <f t="shared" ref="R52" si="9">Q40</f>
        <v>0</v>
      </c>
      <c r="S52" s="102">
        <f t="shared" si="8"/>
        <v>13073.8839848471</v>
      </c>
      <c r="T52" s="102">
        <f t="shared" si="8"/>
        <v>-161655.09346623468</v>
      </c>
      <c r="U52" s="102">
        <f t="shared" si="8"/>
        <v>510.32466268890795</v>
      </c>
      <c r="V52" s="127">
        <f>T52/R45</f>
        <v>-1.9056937675687724E-2</v>
      </c>
      <c r="W52" s="112">
        <f>U52/R45</f>
        <v>6.0160339415845331E-5</v>
      </c>
    </row>
    <row r="53" spans="2:23" x14ac:dyDescent="0.2">
      <c r="B53" s="90" t="s">
        <v>207</v>
      </c>
      <c r="C53" s="91">
        <v>0.1125</v>
      </c>
      <c r="D53" s="91">
        <v>0.1125</v>
      </c>
      <c r="G53" s="90" t="s">
        <v>207</v>
      </c>
      <c r="H53" s="91">
        <v>0.1125</v>
      </c>
      <c r="M53" s="59">
        <v>0.19800000000000001</v>
      </c>
      <c r="Q53" s="109" t="s">
        <v>273</v>
      </c>
      <c r="R53" s="100">
        <f t="shared" ref="R53" si="10">Q41</f>
        <v>0</v>
      </c>
      <c r="S53" s="100">
        <f t="shared" si="8"/>
        <v>1067532.215492456</v>
      </c>
      <c r="T53" s="100">
        <f t="shared" si="8"/>
        <v>12777804.582068078</v>
      </c>
      <c r="U53" s="100">
        <f t="shared" si="8"/>
        <v>43992.016192176627</v>
      </c>
      <c r="V53" s="128">
        <f>T53/R46</f>
        <v>1.9094155896803855E-2</v>
      </c>
      <c r="W53" s="110">
        <f>U53/R46</f>
        <v>6.5738242433833506E-5</v>
      </c>
    </row>
    <row r="54" spans="2:23" x14ac:dyDescent="0.2">
      <c r="B54" s="90" t="s">
        <v>202</v>
      </c>
      <c r="C54" s="91">
        <v>1.8746498001149664E-3</v>
      </c>
      <c r="D54" s="91">
        <v>1.8746498001149664E-3</v>
      </c>
      <c r="F54" s="59">
        <f>H54/H52</f>
        <v>2.2099572391137402E-2</v>
      </c>
      <c r="G54" s="90" t="s">
        <v>202</v>
      </c>
      <c r="H54" s="91">
        <v>1.8746498001149664E-3</v>
      </c>
      <c r="I54" s="59">
        <f>H52*D45*L45</f>
        <v>-1.211648534938054E-3</v>
      </c>
      <c r="K54" s="72">
        <f>I54+I61</f>
        <v>-5.7561826181496543E-2</v>
      </c>
      <c r="M54" s="59">
        <v>1.3101786816893217E-3</v>
      </c>
      <c r="Q54" s="111" t="s">
        <v>267</v>
      </c>
      <c r="R54" s="102">
        <f t="shared" ref="R54" si="11">Q42</f>
        <v>0</v>
      </c>
      <c r="S54" s="108">
        <f t="shared" si="8"/>
        <v>-592405.11697791913</v>
      </c>
      <c r="T54" s="108">
        <f t="shared" si="8"/>
        <v>592113.01145051525</v>
      </c>
      <c r="U54" s="108">
        <f t="shared" si="8"/>
        <v>-1.8256508435642024E-5</v>
      </c>
      <c r="V54" s="129">
        <f>T54/R47</f>
        <v>-1.9537068208119734E-3</v>
      </c>
      <c r="W54" s="112">
        <f>U54/R47</f>
        <v>6.0238272703294626E-14</v>
      </c>
    </row>
    <row r="55" spans="2:23" x14ac:dyDescent="0.2">
      <c r="B55" s="90" t="s">
        <v>203</v>
      </c>
      <c r="C55" s="91">
        <v>1.5412331707967079E-3</v>
      </c>
      <c r="D55" s="91">
        <v>1.5412331707967079E-3</v>
      </c>
      <c r="G55" s="90" t="s">
        <v>203</v>
      </c>
      <c r="H55" s="91">
        <v>1.5412331707967079E-3</v>
      </c>
      <c r="I55" s="59">
        <f>$H$52*H55</f>
        <v>1.3073883984847099E-4</v>
      </c>
      <c r="K55" s="72">
        <f>H54+H61</f>
        <v>3.0514296989788926E-3</v>
      </c>
      <c r="M55" s="59">
        <v>1.5200546814737065E-3</v>
      </c>
      <c r="Q55" s="114" t="s">
        <v>264</v>
      </c>
      <c r="R55" s="115"/>
      <c r="S55" s="116">
        <f>SUM(S51:S54)</f>
        <v>0</v>
      </c>
      <c r="T55" s="116">
        <f>SUM(T51:T54)</f>
        <v>0</v>
      </c>
      <c r="U55" s="116">
        <f>SUM(U51:U54)</f>
        <v>4.2677320045167531E-12</v>
      </c>
      <c r="V55" s="116">
        <f>SUM(V51:V54)</f>
        <v>-0.13399911360021943</v>
      </c>
      <c r="W55" s="117"/>
    </row>
    <row r="56" spans="2:23" x14ac:dyDescent="0.2">
      <c r="B56" s="90" t="s">
        <v>204</v>
      </c>
      <c r="C56" s="91">
        <v>6.0160339415845331E-5</v>
      </c>
      <c r="D56" s="91">
        <v>6.0160339415845331E-5</v>
      </c>
      <c r="G56" s="90" t="s">
        <v>204</v>
      </c>
      <c r="H56" s="91">
        <v>6.0160339415845331E-5</v>
      </c>
      <c r="I56" s="59">
        <f>$H$52*H56</f>
        <v>5.1032466268890797E-6</v>
      </c>
      <c r="M56" s="59">
        <v>3.3434953133123363E-5</v>
      </c>
    </row>
    <row r="57" spans="2:23" x14ac:dyDescent="0.2">
      <c r="B57" s="93" t="s">
        <v>208</v>
      </c>
      <c r="C57" s="94">
        <v>-1.9056937675687724E-2</v>
      </c>
      <c r="D57" s="94">
        <v>-1.905693767566552E-2</v>
      </c>
      <c r="G57" s="93" t="s">
        <v>208</v>
      </c>
      <c r="H57" s="94">
        <v>-1.9056937675687724E-2</v>
      </c>
      <c r="I57" s="59">
        <f>$H$52*H57</f>
        <v>-1.6165509346623469E-3</v>
      </c>
      <c r="M57" s="59">
        <v>-1.0987223707559224E-2</v>
      </c>
    </row>
    <row r="58" spans="2:23" x14ac:dyDescent="0.2">
      <c r="B58" s="88" t="s">
        <v>197</v>
      </c>
      <c r="C58" s="95">
        <v>113.98170981653021</v>
      </c>
      <c r="D58" s="95">
        <v>113.98170981653021</v>
      </c>
      <c r="G58" s="88" t="s">
        <v>197</v>
      </c>
      <c r="H58" s="95">
        <v>113.98170981653021</v>
      </c>
      <c r="K58" s="73">
        <f>H58-C6</f>
        <v>-8.1719999361951068E-4</v>
      </c>
      <c r="M58" s="70">
        <v>115.70131554885084</v>
      </c>
    </row>
    <row r="59" spans="2:23" x14ac:dyDescent="0.2">
      <c r="B59" s="90" t="s">
        <v>200</v>
      </c>
      <c r="C59" s="96">
        <v>-1.1541438440687624</v>
      </c>
      <c r="D59" s="96">
        <v>-6.1314703541376914E-2</v>
      </c>
      <c r="G59" s="90" t="s">
        <v>200</v>
      </c>
      <c r="H59" s="96">
        <v>6.6919976201759921</v>
      </c>
      <c r="M59" s="70">
        <v>-2.0116390833662341</v>
      </c>
    </row>
    <row r="60" spans="2:23" x14ac:dyDescent="0.2">
      <c r="B60" s="90" t="s">
        <v>207</v>
      </c>
      <c r="C60" s="91">
        <v>0.10750000000000001</v>
      </c>
      <c r="D60" s="91">
        <v>0.10750000000000001</v>
      </c>
      <c r="G60" s="90" t="s">
        <v>207</v>
      </c>
      <c r="H60" s="91">
        <v>0.10750000000000001</v>
      </c>
      <c r="M60" s="59">
        <v>0.20800000000000002</v>
      </c>
    </row>
    <row r="61" spans="2:23" x14ac:dyDescent="0.2">
      <c r="B61" s="90" t="s">
        <v>209</v>
      </c>
      <c r="C61" s="91">
        <v>1.1767798988639262E-3</v>
      </c>
      <c r="D61" s="91">
        <v>1.1767798988639262E-3</v>
      </c>
      <c r="F61" s="59">
        <f>H61/H59</f>
        <v>1.7584882207907573E-4</v>
      </c>
      <c r="G61" s="90" t="s">
        <v>209</v>
      </c>
      <c r="H61" s="91">
        <v>1.1767798988639262E-3</v>
      </c>
      <c r="I61" s="59">
        <f>H59*C45*L45</f>
        <v>-5.6350177646558489E-2</v>
      </c>
      <c r="J61" s="72">
        <f>I61+I54</f>
        <v>-5.7561826181496543E-2</v>
      </c>
      <c r="M61" s="59">
        <v>-2.5835561182829727E-3</v>
      </c>
    </row>
    <row r="62" spans="2:23" x14ac:dyDescent="0.2">
      <c r="B62" s="90" t="s">
        <v>210</v>
      </c>
      <c r="C62" s="91">
        <v>1.5952369921260986E-3</v>
      </c>
      <c r="D62" s="91">
        <v>1.5952369921260986E-3</v>
      </c>
      <c r="G62" s="90" t="s">
        <v>210</v>
      </c>
      <c r="H62" s="91">
        <v>1.5952369921260986E-3</v>
      </c>
      <c r="I62" s="59">
        <f>$H$59*H62</f>
        <v>1.067532215492456E-2</v>
      </c>
      <c r="M62" s="59">
        <v>1.6196086463458347E-3</v>
      </c>
    </row>
    <row r="63" spans="2:23" x14ac:dyDescent="0.2">
      <c r="B63" s="90" t="s">
        <v>205</v>
      </c>
      <c r="C63" s="91">
        <v>6.5738242433833506E-5</v>
      </c>
      <c r="D63" s="91">
        <v>6.5738242433833506E-5</v>
      </c>
      <c r="G63" s="90" t="s">
        <v>205</v>
      </c>
      <c r="H63" s="91">
        <v>6.5738242433833506E-5</v>
      </c>
      <c r="I63" s="59">
        <f>$H$59*H63</f>
        <v>4.3992016192176625E-4</v>
      </c>
      <c r="M63" s="59">
        <v>3.4423456167151367E-5</v>
      </c>
    </row>
    <row r="64" spans="2:23" x14ac:dyDescent="0.2">
      <c r="B64" s="93" t="s">
        <v>211</v>
      </c>
      <c r="C64" s="94">
        <v>1.9094155896803855E-2</v>
      </c>
      <c r="D64" s="94">
        <v>1.9094155896803855E-2</v>
      </c>
      <c r="G64" s="93" t="s">
        <v>211</v>
      </c>
      <c r="H64" s="94">
        <v>1.9094155896803855E-2</v>
      </c>
      <c r="I64" s="59">
        <f>$H$59*H64</f>
        <v>0.12777804582068078</v>
      </c>
      <c r="M64" s="59">
        <v>9.6437892760092847E-3</v>
      </c>
    </row>
    <row r="65" spans="2:13" x14ac:dyDescent="0.2">
      <c r="B65" s="88" t="s">
        <v>198</v>
      </c>
      <c r="C65" s="95">
        <v>109.86446712647293</v>
      </c>
      <c r="D65" s="95">
        <v>109.86446712647293</v>
      </c>
      <c r="G65" s="88" t="s">
        <v>198</v>
      </c>
      <c r="H65" s="95">
        <v>109.86446712647293</v>
      </c>
      <c r="M65" s="70">
        <v>107.46870837116722</v>
      </c>
    </row>
    <row r="66" spans="2:13" x14ac:dyDescent="0.2">
      <c r="B66" s="90" t="s">
        <v>201</v>
      </c>
      <c r="C66" s="96">
        <v>0.19394580248158128</v>
      </c>
      <c r="D66" s="96">
        <v>0.31353489053354455</v>
      </c>
      <c r="G66" s="90" t="s">
        <v>201</v>
      </c>
      <c r="H66" s="96">
        <v>-3.0307157918629222</v>
      </c>
      <c r="I66" s="59"/>
      <c r="M66" s="70">
        <v>6.4747262755383934</v>
      </c>
    </row>
    <row r="67" spans="2:13" x14ac:dyDescent="0.2">
      <c r="B67" s="90" t="s">
        <v>207</v>
      </c>
      <c r="C67" s="91">
        <v>0.1</v>
      </c>
      <c r="D67" s="91">
        <v>0.1</v>
      </c>
      <c r="G67" s="90" t="s">
        <v>207</v>
      </c>
      <c r="H67" s="91">
        <v>0.1</v>
      </c>
      <c r="I67" s="59"/>
      <c r="M67" s="59">
        <v>0.2</v>
      </c>
    </row>
    <row r="68" spans="2:13" x14ac:dyDescent="0.2">
      <c r="B68" s="90" t="s">
        <v>212</v>
      </c>
      <c r="C68" s="91">
        <v>0</v>
      </c>
      <c r="D68" s="91">
        <v>0</v>
      </c>
      <c r="G68" s="90" t="s">
        <v>212</v>
      </c>
      <c r="H68" s="91">
        <v>0</v>
      </c>
      <c r="I68" s="59">
        <f>$H$66*H68</f>
        <v>0</v>
      </c>
      <c r="J68" s="72">
        <f>I54+I61+I68</f>
        <v>-5.7561826181496543E-2</v>
      </c>
      <c r="M68" s="59">
        <v>0</v>
      </c>
    </row>
    <row r="69" spans="2:13" x14ac:dyDescent="0.2">
      <c r="B69" s="90" t="s">
        <v>213</v>
      </c>
      <c r="C69" s="91">
        <v>1.9546706377696313E-3</v>
      </c>
      <c r="D69" s="91">
        <v>1.9546706377696313E-3</v>
      </c>
      <c r="G69" s="90" t="s">
        <v>213</v>
      </c>
      <c r="H69" s="91">
        <v>1.9546706377696313E-3</v>
      </c>
      <c r="I69" s="59">
        <f>$H$66*H69</f>
        <v>-5.9240511697791912E-3</v>
      </c>
      <c r="J69" s="72">
        <f>I55+I62+I69</f>
        <v>4.8820098249938394E-3</v>
      </c>
      <c r="K69" s="56">
        <f>J69+H46</f>
        <v>0</v>
      </c>
      <c r="M69" s="59">
        <v>1.9474543873879051E-3</v>
      </c>
    </row>
    <row r="70" spans="2:13" x14ac:dyDescent="0.2">
      <c r="B70" s="90" t="s">
        <v>206</v>
      </c>
      <c r="C70" s="91">
        <v>6.0238272703294626E-14</v>
      </c>
      <c r="D70" s="91">
        <v>6.0238272703294626E-14</v>
      </c>
      <c r="G70" s="90" t="s">
        <v>206</v>
      </c>
      <c r="H70" s="91">
        <v>6.0238272703294626E-14</v>
      </c>
      <c r="I70" s="59">
        <f>$H$66*H70</f>
        <v>-1.8256508435642023E-13</v>
      </c>
      <c r="J70" s="72">
        <f>I56+I63+I70</f>
        <v>4.4502340836609025E-4</v>
      </c>
      <c r="K70" s="56">
        <f>J70+H47</f>
        <v>0</v>
      </c>
      <c r="L70" t="b">
        <f>K70=0</f>
        <v>1</v>
      </c>
      <c r="M70" s="59">
        <v>3.0010716134398763E-14</v>
      </c>
    </row>
    <row r="71" spans="2:13" x14ac:dyDescent="0.2">
      <c r="B71" s="93" t="s">
        <v>214</v>
      </c>
      <c r="C71" s="94">
        <v>-1.9537068208119734E-3</v>
      </c>
      <c r="D71" s="94">
        <v>-1.9537068208119734E-3</v>
      </c>
      <c r="G71" s="93" t="s">
        <v>214</v>
      </c>
      <c r="H71" s="94">
        <v>-1.9537068208119734E-3</v>
      </c>
      <c r="I71" s="59">
        <f>$H$66*H71</f>
        <v>5.921130114505152E-3</v>
      </c>
      <c r="J71" s="72">
        <f>I57+I64+I71</f>
        <v>0.13208262500052359</v>
      </c>
      <c r="K71" s="56">
        <f>J71+H48</f>
        <v>0</v>
      </c>
      <c r="M71" s="59">
        <v>-1.9469802659100033E-3</v>
      </c>
    </row>
    <row r="72" spans="2:13" x14ac:dyDescent="0.2">
      <c r="C72">
        <f>TRANSPOSE(OTCexotics("Vanilla",C2,"USD",C3,C4,C5,C6,C7,C7,1000,0,0,0,C10,C9,C9,C9,C9,L8,L9,L10,C12))</f>
        <v>6.9398171873890444E-3</v>
      </c>
    </row>
  </sheetData>
  <mergeCells count="1">
    <mergeCell ref="P18:Q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"/>
  <dimension ref="A3:N79"/>
  <sheetViews>
    <sheetView workbookViewId="0">
      <selection activeCell="B32" sqref="B32"/>
    </sheetView>
  </sheetViews>
  <sheetFormatPr defaultRowHeight="12.75" x14ac:dyDescent="0.2"/>
  <cols>
    <col min="2" max="2" width="13.5703125" bestFit="1" customWidth="1"/>
    <col min="3" max="10" width="9.7109375" bestFit="1" customWidth="1"/>
    <col min="11" max="14" width="10.7109375" bestFit="1" customWidth="1"/>
  </cols>
  <sheetData>
    <row r="3" spans="1:14" x14ac:dyDescent="0.2">
      <c r="C3" t="s">
        <v>95</v>
      </c>
      <c r="D3" t="s">
        <v>95</v>
      </c>
      <c r="E3" t="s">
        <v>95</v>
      </c>
      <c r="F3" t="s">
        <v>95</v>
      </c>
      <c r="G3" t="s">
        <v>95</v>
      </c>
      <c r="H3" t="s">
        <v>95</v>
      </c>
      <c r="I3" t="s">
        <v>95</v>
      </c>
      <c r="J3" t="s">
        <v>95</v>
      </c>
      <c r="K3" t="s">
        <v>95</v>
      </c>
      <c r="L3" t="s">
        <v>95</v>
      </c>
      <c r="M3" t="s">
        <v>95</v>
      </c>
      <c r="N3" t="s">
        <v>95</v>
      </c>
    </row>
    <row r="4" spans="1:14" x14ac:dyDescent="0.2">
      <c r="B4" t="s">
        <v>142</v>
      </c>
      <c r="C4" t="s">
        <v>186</v>
      </c>
      <c r="D4" t="s">
        <v>186</v>
      </c>
      <c r="E4" t="s">
        <v>186</v>
      </c>
      <c r="F4" t="s">
        <v>186</v>
      </c>
      <c r="G4" t="s">
        <v>186</v>
      </c>
      <c r="H4" t="s">
        <v>186</v>
      </c>
      <c r="I4" t="s">
        <v>186</v>
      </c>
      <c r="J4" t="s">
        <v>186</v>
      </c>
      <c r="K4" t="s">
        <v>186</v>
      </c>
      <c r="L4" t="s">
        <v>186</v>
      </c>
      <c r="M4" t="s">
        <v>186</v>
      </c>
      <c r="N4" t="s">
        <v>186</v>
      </c>
    </row>
    <row r="5" spans="1:14" x14ac:dyDescent="0.2">
      <c r="B5" t="s">
        <v>63</v>
      </c>
      <c r="C5" s="61">
        <v>41340</v>
      </c>
      <c r="D5" s="61">
        <v>41340</v>
      </c>
      <c r="E5" s="61">
        <v>41340</v>
      </c>
      <c r="F5" s="61">
        <v>41340</v>
      </c>
      <c r="G5" s="61">
        <v>41340</v>
      </c>
      <c r="H5" s="61">
        <v>41340</v>
      </c>
      <c r="I5" s="61">
        <v>41340</v>
      </c>
      <c r="J5" s="61">
        <v>41340</v>
      </c>
      <c r="K5" s="61">
        <v>41340</v>
      </c>
      <c r="L5" s="61">
        <v>41340</v>
      </c>
      <c r="M5" s="61">
        <v>41340</v>
      </c>
      <c r="N5" s="61">
        <v>41340</v>
      </c>
    </row>
    <row r="6" spans="1:14" x14ac:dyDescent="0.2">
      <c r="B6" t="s">
        <v>64</v>
      </c>
      <c r="C6" s="61">
        <v>41430</v>
      </c>
      <c r="D6" s="61">
        <f>C6</f>
        <v>41430</v>
      </c>
      <c r="E6" s="61">
        <f t="shared" ref="E6:N6" si="0">D6</f>
        <v>41430</v>
      </c>
      <c r="F6" s="61">
        <f t="shared" si="0"/>
        <v>41430</v>
      </c>
      <c r="G6" s="61">
        <f t="shared" si="0"/>
        <v>41430</v>
      </c>
      <c r="H6" s="61">
        <f t="shared" si="0"/>
        <v>41430</v>
      </c>
      <c r="I6" s="61">
        <f t="shared" si="0"/>
        <v>41430</v>
      </c>
      <c r="J6" s="61">
        <f t="shared" si="0"/>
        <v>41430</v>
      </c>
      <c r="K6" s="61">
        <f t="shared" si="0"/>
        <v>41430</v>
      </c>
      <c r="L6" s="61">
        <f t="shared" si="0"/>
        <v>41430</v>
      </c>
      <c r="M6" s="61">
        <f t="shared" si="0"/>
        <v>41430</v>
      </c>
      <c r="N6" s="61">
        <f t="shared" si="0"/>
        <v>41430</v>
      </c>
    </row>
    <row r="7" spans="1:14" ht="15" x14ac:dyDescent="0.25">
      <c r="A7" t="s">
        <v>217</v>
      </c>
      <c r="B7" t="s">
        <v>65</v>
      </c>
      <c r="C7" s="83">
        <f>RKO!H65</f>
        <v>109.86446712647293</v>
      </c>
      <c r="D7" s="83">
        <f>C7</f>
        <v>109.86446712647293</v>
      </c>
      <c r="E7" s="57">
        <f t="shared" ref="E7:N7" si="1">D7</f>
        <v>109.86446712647293</v>
      </c>
      <c r="F7" s="57">
        <f t="shared" si="1"/>
        <v>109.86446712647293</v>
      </c>
      <c r="G7" s="57">
        <f t="shared" si="1"/>
        <v>109.86446712647293</v>
      </c>
      <c r="H7" s="57">
        <f t="shared" si="1"/>
        <v>109.86446712647293</v>
      </c>
      <c r="I7" s="57">
        <f t="shared" si="1"/>
        <v>109.86446712647293</v>
      </c>
      <c r="J7" s="57">
        <f t="shared" si="1"/>
        <v>109.86446712647293</v>
      </c>
      <c r="K7" s="57">
        <f t="shared" si="1"/>
        <v>109.86446712647293</v>
      </c>
      <c r="L7" s="57">
        <f t="shared" si="1"/>
        <v>109.86446712647293</v>
      </c>
      <c r="M7" s="57">
        <f t="shared" si="1"/>
        <v>109.86446712647293</v>
      </c>
      <c r="N7" s="57">
        <f t="shared" si="1"/>
        <v>109.86446712647293</v>
      </c>
    </row>
    <row r="8" spans="1:14" x14ac:dyDescent="0.2">
      <c r="A8">
        <v>1</v>
      </c>
      <c r="B8" t="s">
        <v>66</v>
      </c>
      <c r="C8" s="57">
        <v>103</v>
      </c>
      <c r="D8" s="57">
        <f>C8+$A$8</f>
        <v>104</v>
      </c>
      <c r="E8" s="57">
        <f t="shared" ref="E8:N8" si="2">D8+$A$8</f>
        <v>105</v>
      </c>
      <c r="F8" s="57">
        <f t="shared" si="2"/>
        <v>106</v>
      </c>
      <c r="G8" s="57">
        <f t="shared" si="2"/>
        <v>107</v>
      </c>
      <c r="H8" s="57">
        <f t="shared" si="2"/>
        <v>108</v>
      </c>
      <c r="I8" s="57">
        <f t="shared" si="2"/>
        <v>109</v>
      </c>
      <c r="J8" s="57">
        <f t="shared" si="2"/>
        <v>110</v>
      </c>
      <c r="K8" s="57">
        <f t="shared" si="2"/>
        <v>111</v>
      </c>
      <c r="L8" s="57">
        <f t="shared" si="2"/>
        <v>112</v>
      </c>
      <c r="M8" s="57">
        <f t="shared" si="2"/>
        <v>113</v>
      </c>
      <c r="N8" s="57">
        <f t="shared" si="2"/>
        <v>114</v>
      </c>
    </row>
    <row r="9" spans="1:14" x14ac:dyDescent="0.2">
      <c r="B9" t="s">
        <v>67</v>
      </c>
      <c r="C9" s="57">
        <f>C8</f>
        <v>103</v>
      </c>
      <c r="D9" s="57">
        <f t="shared" ref="D9" si="3">D8</f>
        <v>104</v>
      </c>
      <c r="E9" s="57">
        <f t="shared" ref="E9" si="4">E8</f>
        <v>105</v>
      </c>
      <c r="F9" s="57">
        <f t="shared" ref="F9" si="5">F8</f>
        <v>106</v>
      </c>
      <c r="G9" s="57">
        <f t="shared" ref="G9" si="6">G8</f>
        <v>107</v>
      </c>
      <c r="H9" s="57">
        <f t="shared" ref="H9" si="7">H8</f>
        <v>108</v>
      </c>
      <c r="I9" s="57">
        <f t="shared" ref="I9" si="8">I8</f>
        <v>109</v>
      </c>
      <c r="J9" s="57">
        <f t="shared" ref="J9" si="9">J8</f>
        <v>110</v>
      </c>
      <c r="K9" s="57">
        <f t="shared" ref="K9" si="10">K8</f>
        <v>111</v>
      </c>
      <c r="L9" s="57">
        <f t="shared" ref="L9" si="11">L8</f>
        <v>112</v>
      </c>
      <c r="M9" s="57">
        <f t="shared" ref="M9" si="12">M8</f>
        <v>113</v>
      </c>
      <c r="N9" s="57">
        <f t="shared" ref="N9" si="13">N8</f>
        <v>114</v>
      </c>
    </row>
    <row r="10" spans="1:14" x14ac:dyDescent="0.2">
      <c r="B10" t="s">
        <v>143</v>
      </c>
      <c r="C10" s="55">
        <v>0.05</v>
      </c>
      <c r="D10" s="55">
        <v>0.05</v>
      </c>
      <c r="E10" s="55">
        <v>0.05</v>
      </c>
      <c r="F10" s="55">
        <v>0.05</v>
      </c>
      <c r="G10" s="55">
        <v>0.05</v>
      </c>
      <c r="H10" s="55">
        <v>0.05</v>
      </c>
      <c r="I10" s="55">
        <v>0.05</v>
      </c>
      <c r="J10" s="55">
        <v>0.05</v>
      </c>
      <c r="K10" s="55">
        <v>0.05</v>
      </c>
      <c r="L10" s="55">
        <v>0.05</v>
      </c>
      <c r="M10" s="55">
        <v>0.05</v>
      </c>
      <c r="N10" s="55">
        <v>0.05</v>
      </c>
    </row>
    <row r="11" spans="1:14" x14ac:dyDescent="0.2">
      <c r="B11" t="s">
        <v>144</v>
      </c>
      <c r="C11" t="s">
        <v>53</v>
      </c>
      <c r="D11" t="s">
        <v>53</v>
      </c>
      <c r="E11" t="s">
        <v>53</v>
      </c>
      <c r="F11" t="s">
        <v>53</v>
      </c>
      <c r="G11" t="s">
        <v>53</v>
      </c>
      <c r="H11" t="s">
        <v>53</v>
      </c>
      <c r="I11" t="s">
        <v>53</v>
      </c>
      <c r="J11" t="s">
        <v>53</v>
      </c>
      <c r="K11" t="s">
        <v>53</v>
      </c>
      <c r="L11" t="s">
        <v>53</v>
      </c>
      <c r="M11" t="s">
        <v>53</v>
      </c>
      <c r="N11" t="s">
        <v>53</v>
      </c>
    </row>
    <row r="12" spans="1:14" x14ac:dyDescent="0.2">
      <c r="B12" t="s">
        <v>145</v>
      </c>
      <c r="C12" s="54">
        <f>RKO!L8</f>
        <v>0.1</v>
      </c>
      <c r="D12" s="54">
        <f>C12</f>
        <v>0.1</v>
      </c>
      <c r="E12" s="54">
        <f t="shared" ref="E12:N12" si="14">D12</f>
        <v>0.1</v>
      </c>
      <c r="F12" s="54">
        <f t="shared" si="14"/>
        <v>0.1</v>
      </c>
      <c r="G12" s="54">
        <f t="shared" si="14"/>
        <v>0.1</v>
      </c>
      <c r="H12" s="54">
        <f t="shared" si="14"/>
        <v>0.1</v>
      </c>
      <c r="I12" s="54">
        <f t="shared" si="14"/>
        <v>0.1</v>
      </c>
      <c r="J12" s="54">
        <f t="shared" si="14"/>
        <v>0.1</v>
      </c>
      <c r="K12" s="54">
        <f t="shared" si="14"/>
        <v>0.1</v>
      </c>
      <c r="L12" s="54">
        <f t="shared" si="14"/>
        <v>0.1</v>
      </c>
      <c r="M12" s="54">
        <f t="shared" si="14"/>
        <v>0.1</v>
      </c>
      <c r="N12" s="54">
        <f t="shared" si="14"/>
        <v>0.1</v>
      </c>
    </row>
    <row r="13" spans="1:14" x14ac:dyDescent="0.2">
      <c r="B13" t="s">
        <v>147</v>
      </c>
      <c r="C13" t="s">
        <v>159</v>
      </c>
      <c r="D13" t="s">
        <v>159</v>
      </c>
      <c r="E13" t="s">
        <v>159</v>
      </c>
      <c r="F13" t="s">
        <v>159</v>
      </c>
      <c r="G13" t="s">
        <v>159</v>
      </c>
      <c r="H13" t="s">
        <v>159</v>
      </c>
      <c r="I13" t="s">
        <v>159</v>
      </c>
      <c r="J13" t="s">
        <v>159</v>
      </c>
      <c r="K13" t="s">
        <v>159</v>
      </c>
      <c r="L13" t="s">
        <v>159</v>
      </c>
      <c r="M13" t="s">
        <v>159</v>
      </c>
      <c r="N13" t="s">
        <v>159</v>
      </c>
    </row>
    <row r="14" spans="1:14" x14ac:dyDescent="0.2">
      <c r="B14" t="s">
        <v>138</v>
      </c>
      <c r="C14" s="58">
        <f t="shared" ref="C14:N14" si="15">Vanilla(C3,C4,C5,C6,C7,C8,C9,C10,C11,C12,$B14,C13)</f>
        <v>9.771603200040932E-2</v>
      </c>
      <c r="D14" s="58">
        <f t="shared" si="15"/>
        <v>0.13497566717322815</v>
      </c>
      <c r="E14" s="58">
        <f t="shared" si="15"/>
        <v>0.18029760011948817</v>
      </c>
      <c r="F14" s="58">
        <f t="shared" si="15"/>
        <v>0.2333032630060258</v>
      </c>
      <c r="G14" s="58">
        <f t="shared" si="15"/>
        <v>0.29296328328064158</v>
      </c>
      <c r="H14" s="58">
        <f t="shared" si="15"/>
        <v>0.35764161996996446</v>
      </c>
      <c r="I14" s="58">
        <f t="shared" si="15"/>
        <v>0.42523014360310751</v>
      </c>
      <c r="J14" s="58">
        <f t="shared" si="15"/>
        <v>0.49335405802834786</v>
      </c>
      <c r="K14" s="58">
        <f t="shared" si="15"/>
        <v>0.55961203636029688</v>
      </c>
      <c r="L14" s="58">
        <f t="shared" si="15"/>
        <v>0.62181234901186355</v>
      </c>
      <c r="M14" s="58">
        <f t="shared" si="15"/>
        <v>0.67816697974042306</v>
      </c>
      <c r="N14" s="58">
        <f t="shared" si="15"/>
        <v>0.72741685153368718</v>
      </c>
    </row>
    <row r="15" spans="1:14" x14ac:dyDescent="0.2">
      <c r="B15" t="s">
        <v>158</v>
      </c>
      <c r="C15" s="58">
        <f t="shared" ref="C15:N15" si="16">Vanilla(C3,C4,C5,C6,C7,C8,C9,C10,C11,C12,$B15,C13)</f>
        <v>8.6876322834650863E-4</v>
      </c>
      <c r="D15" s="58">
        <f t="shared" si="16"/>
        <v>1.0923884668236868E-3</v>
      </c>
      <c r="E15" s="58">
        <f t="shared" si="16"/>
        <v>1.3203646261664111E-3</v>
      </c>
      <c r="F15" s="58">
        <f t="shared" si="16"/>
        <v>1.5357833114879068E-3</v>
      </c>
      <c r="G15" s="58">
        <f t="shared" si="16"/>
        <v>1.7208664139107238E-3</v>
      </c>
      <c r="H15" s="82">
        <f t="shared" si="16"/>
        <v>1.8594809985280189E-3</v>
      </c>
      <c r="I15" s="58">
        <f t="shared" si="16"/>
        <v>1.9395230007455437E-3</v>
      </c>
      <c r="J15" s="58">
        <f t="shared" si="16"/>
        <v>1.9546706377696313E-3</v>
      </c>
      <c r="K15" s="58">
        <f t="shared" si="16"/>
        <v>1.9051570930709299E-3</v>
      </c>
      <c r="L15" s="58">
        <f t="shared" si="16"/>
        <v>1.7974482898827462E-3</v>
      </c>
      <c r="M15" s="58">
        <f t="shared" si="16"/>
        <v>1.6429623252640743E-3</v>
      </c>
      <c r="N15" s="58">
        <f t="shared" si="16"/>
        <v>1.4561609739114122E-3</v>
      </c>
    </row>
    <row r="16" spans="1:14" x14ac:dyDescent="0.2">
      <c r="B16" t="s">
        <v>137</v>
      </c>
      <c r="C16" s="58">
        <f t="shared" ref="C16:N16" si="17">Vanilla(C3,C4,C5,C6,C7,C8,C9,C10,C11,C12,$B16,C13)</f>
        <v>2.3096204618486917E-3</v>
      </c>
      <c r="D16" s="58">
        <f t="shared" si="17"/>
        <v>3.4269555414398931E-3</v>
      </c>
      <c r="E16" s="58">
        <f t="shared" si="17"/>
        <v>4.9287314310077985E-3</v>
      </c>
      <c r="F16" s="58">
        <f t="shared" si="17"/>
        <v>6.8828066640077819E-3</v>
      </c>
      <c r="G16" s="58">
        <f t="shared" si="17"/>
        <v>9.3484986841085131E-3</v>
      </c>
      <c r="H16" s="58">
        <f t="shared" si="17"/>
        <v>1.2370978066250303E-2</v>
      </c>
      <c r="I16" s="58">
        <f t="shared" si="17"/>
        <v>1.5976834272253725E-2</v>
      </c>
      <c r="J16" s="58">
        <f t="shared" si="17"/>
        <v>2.0171467681341065E-2</v>
      </c>
      <c r="K16" s="58">
        <f t="shared" si="17"/>
        <v>2.4937775879426319E-2</v>
      </c>
      <c r="L16" s="58">
        <f t="shared" si="17"/>
        <v>3.0239080175274428E-2</v>
      </c>
      <c r="M16" s="58">
        <f t="shared" si="17"/>
        <v>3.6021311968372702E-2</v>
      </c>
      <c r="N16" s="58">
        <f t="shared" si="17"/>
        <v>4.2218553351571618E-2</v>
      </c>
    </row>
    <row r="17" spans="1:14" x14ac:dyDescent="0.2">
      <c r="B17" s="65">
        <f>RKO!G33</f>
        <v>-303071579.18629223</v>
      </c>
      <c r="C17" s="69">
        <f t="shared" ref="C17:N17" si="18">C15*$B17</f>
        <v>-263297.4435539578</v>
      </c>
      <c r="D17" s="69">
        <f t="shared" si="18"/>
        <v>-331071.89772514737</v>
      </c>
      <c r="E17" s="69">
        <f t="shared" si="18"/>
        <v>-400164.99235397263</v>
      </c>
      <c r="F17" s="69">
        <f t="shared" si="18"/>
        <v>-465452.27350059326</v>
      </c>
      <c r="G17" s="69">
        <f t="shared" si="18"/>
        <v>-521545.70163257467</v>
      </c>
      <c r="H17" s="69">
        <f t="shared" si="18"/>
        <v>-563555.84269079019</v>
      </c>
      <c r="I17" s="69">
        <f t="shared" si="18"/>
        <v>-587814.2987040882</v>
      </c>
      <c r="J17" s="69">
        <f t="shared" si="18"/>
        <v>-592405.11697791913</v>
      </c>
      <c r="K17" s="69">
        <f t="shared" si="18"/>
        <v>-577398.96879497264</v>
      </c>
      <c r="L17" s="69">
        <f t="shared" si="18"/>
        <v>-544755.49172046431</v>
      </c>
      <c r="M17" s="69">
        <f t="shared" si="18"/>
        <v>-497935.18646136572</v>
      </c>
      <c r="N17" s="69">
        <f t="shared" si="18"/>
        <v>-441321.00591278099</v>
      </c>
    </row>
    <row r="19" spans="1:14" x14ac:dyDescent="0.2">
      <c r="C19" t="s">
        <v>95</v>
      </c>
      <c r="D19" t="s">
        <v>95</v>
      </c>
      <c r="E19" t="s">
        <v>95</v>
      </c>
      <c r="F19" t="s">
        <v>95</v>
      </c>
      <c r="G19" t="s">
        <v>95</v>
      </c>
      <c r="H19" t="s">
        <v>95</v>
      </c>
      <c r="I19" t="s">
        <v>95</v>
      </c>
      <c r="J19" t="s">
        <v>95</v>
      </c>
      <c r="K19" t="s">
        <v>95</v>
      </c>
      <c r="L19" t="s">
        <v>95</v>
      </c>
      <c r="M19" t="s">
        <v>95</v>
      </c>
      <c r="N19" t="s">
        <v>95</v>
      </c>
    </row>
    <row r="20" spans="1:14" x14ac:dyDescent="0.2">
      <c r="B20" t="s">
        <v>142</v>
      </c>
      <c r="C20" t="s">
        <v>189</v>
      </c>
      <c r="D20" t="s">
        <v>189</v>
      </c>
      <c r="E20" t="s">
        <v>189</v>
      </c>
      <c r="F20" t="s">
        <v>189</v>
      </c>
      <c r="G20" t="s">
        <v>189</v>
      </c>
      <c r="H20" t="s">
        <v>189</v>
      </c>
      <c r="I20" t="s">
        <v>189</v>
      </c>
      <c r="J20" t="s">
        <v>189</v>
      </c>
      <c r="K20" t="s">
        <v>189</v>
      </c>
      <c r="L20" t="s">
        <v>189</v>
      </c>
      <c r="M20" t="s">
        <v>189</v>
      </c>
      <c r="N20" t="s">
        <v>189</v>
      </c>
    </row>
    <row r="21" spans="1:14" x14ac:dyDescent="0.2">
      <c r="B21" t="s">
        <v>63</v>
      </c>
      <c r="C21" s="61">
        <v>41340</v>
      </c>
      <c r="D21" s="61">
        <v>41340</v>
      </c>
      <c r="E21" s="61">
        <v>41340</v>
      </c>
      <c r="F21" s="61">
        <v>41340</v>
      </c>
      <c r="G21" s="61">
        <v>41340</v>
      </c>
      <c r="H21" s="61">
        <v>41340</v>
      </c>
      <c r="I21" s="61">
        <v>41340</v>
      </c>
      <c r="J21" s="61">
        <v>41340</v>
      </c>
      <c r="K21" s="61">
        <v>41340</v>
      </c>
      <c r="L21" s="61">
        <v>41340</v>
      </c>
      <c r="M21" s="61">
        <v>41340</v>
      </c>
      <c r="N21" s="61">
        <v>41340</v>
      </c>
    </row>
    <row r="22" spans="1:14" x14ac:dyDescent="0.2">
      <c r="B22" t="s">
        <v>64</v>
      </c>
      <c r="C22" s="61">
        <f>C38</f>
        <v>41430</v>
      </c>
      <c r="D22" s="61">
        <f>C22</f>
        <v>41430</v>
      </c>
      <c r="E22" s="61">
        <f t="shared" ref="E22:N22" si="19">D22</f>
        <v>41430</v>
      </c>
      <c r="F22" s="61">
        <f t="shared" si="19"/>
        <v>41430</v>
      </c>
      <c r="G22" s="61">
        <f t="shared" si="19"/>
        <v>41430</v>
      </c>
      <c r="H22" s="61">
        <f t="shared" si="19"/>
        <v>41430</v>
      </c>
      <c r="I22" s="61">
        <f t="shared" si="19"/>
        <v>41430</v>
      </c>
      <c r="J22" s="61">
        <f t="shared" si="19"/>
        <v>41430</v>
      </c>
      <c r="K22" s="61">
        <f t="shared" si="19"/>
        <v>41430</v>
      </c>
      <c r="L22" s="61">
        <f t="shared" si="19"/>
        <v>41430</v>
      </c>
      <c r="M22" s="61">
        <f t="shared" si="19"/>
        <v>41430</v>
      </c>
      <c r="N22" s="61">
        <f t="shared" si="19"/>
        <v>41430</v>
      </c>
    </row>
    <row r="23" spans="1:14" ht="15" x14ac:dyDescent="0.25">
      <c r="A23" t="s">
        <v>234</v>
      </c>
      <c r="B23" t="s">
        <v>65</v>
      </c>
      <c r="C23" s="84">
        <f>RKO!C23</f>
        <v>105.99812308472085</v>
      </c>
      <c r="D23" s="84">
        <f t="shared" ref="D23:N23" si="20">$C$23</f>
        <v>105.99812308472085</v>
      </c>
      <c r="E23" s="62">
        <f t="shared" si="20"/>
        <v>105.99812308472085</v>
      </c>
      <c r="F23" s="62">
        <f t="shared" si="20"/>
        <v>105.99812308472085</v>
      </c>
      <c r="G23" s="62">
        <f t="shared" si="20"/>
        <v>105.99812308472085</v>
      </c>
      <c r="H23" s="62">
        <f t="shared" si="20"/>
        <v>105.99812308472085</v>
      </c>
      <c r="I23" s="62">
        <f t="shared" si="20"/>
        <v>105.99812308472085</v>
      </c>
      <c r="J23" s="62">
        <f t="shared" si="20"/>
        <v>105.99812308472085</v>
      </c>
      <c r="K23" s="62">
        <f t="shared" si="20"/>
        <v>105.99812308472085</v>
      </c>
      <c r="L23" s="62">
        <f t="shared" si="20"/>
        <v>105.99812308472085</v>
      </c>
      <c r="M23" s="62">
        <f t="shared" si="20"/>
        <v>105.99812308472085</v>
      </c>
      <c r="N23" s="62">
        <f t="shared" si="20"/>
        <v>105.99812308472085</v>
      </c>
    </row>
    <row r="24" spans="1:14" x14ac:dyDescent="0.2">
      <c r="B24" t="s">
        <v>66</v>
      </c>
      <c r="C24" s="62">
        <f t="shared" ref="C24:N24" si="21">C8</f>
        <v>103</v>
      </c>
      <c r="D24" s="62">
        <f t="shared" si="21"/>
        <v>104</v>
      </c>
      <c r="E24" s="62">
        <f t="shared" si="21"/>
        <v>105</v>
      </c>
      <c r="F24" s="62">
        <f t="shared" si="21"/>
        <v>106</v>
      </c>
      <c r="G24" s="62">
        <f t="shared" si="21"/>
        <v>107</v>
      </c>
      <c r="H24" s="62">
        <f t="shared" si="21"/>
        <v>108</v>
      </c>
      <c r="I24" s="62">
        <f t="shared" si="21"/>
        <v>109</v>
      </c>
      <c r="J24" s="62">
        <f t="shared" si="21"/>
        <v>110</v>
      </c>
      <c r="K24" s="62">
        <f t="shared" si="21"/>
        <v>111</v>
      </c>
      <c r="L24" s="62">
        <f t="shared" si="21"/>
        <v>112</v>
      </c>
      <c r="M24" s="62">
        <f t="shared" si="21"/>
        <v>113</v>
      </c>
      <c r="N24" s="62">
        <f t="shared" si="21"/>
        <v>114</v>
      </c>
    </row>
    <row r="25" spans="1:14" x14ac:dyDescent="0.2">
      <c r="B25" t="s">
        <v>67</v>
      </c>
      <c r="C25" s="57">
        <f>C24</f>
        <v>103</v>
      </c>
      <c r="D25" s="57">
        <f t="shared" ref="D25" si="22">D24</f>
        <v>104</v>
      </c>
      <c r="E25" s="57">
        <f t="shared" ref="E25" si="23">E24</f>
        <v>105</v>
      </c>
      <c r="F25" s="57">
        <f t="shared" ref="F25" si="24">F24</f>
        <v>106</v>
      </c>
      <c r="G25" s="57">
        <f t="shared" ref="G25" si="25">G24</f>
        <v>107</v>
      </c>
      <c r="H25" s="57">
        <f t="shared" ref="H25" si="26">H24</f>
        <v>108</v>
      </c>
      <c r="I25" s="57">
        <f t="shared" ref="I25" si="27">I24</f>
        <v>109</v>
      </c>
      <c r="J25" s="57">
        <f t="shared" ref="J25" si="28">J24</f>
        <v>110</v>
      </c>
      <c r="K25" s="57">
        <f t="shared" ref="K25" si="29">K24</f>
        <v>111</v>
      </c>
      <c r="L25" s="57">
        <f t="shared" ref="L25" si="30">L24</f>
        <v>112</v>
      </c>
      <c r="M25" s="57">
        <f t="shared" ref="M25" si="31">M24</f>
        <v>113</v>
      </c>
      <c r="N25" s="57">
        <f t="shared" ref="N25" si="32">N24</f>
        <v>114</v>
      </c>
    </row>
    <row r="26" spans="1:14" x14ac:dyDescent="0.2">
      <c r="B26" t="s">
        <v>143</v>
      </c>
      <c r="C26" s="55">
        <v>0.05</v>
      </c>
      <c r="D26" s="55">
        <v>0.05</v>
      </c>
      <c r="E26" s="55">
        <v>0.05</v>
      </c>
      <c r="F26" s="55">
        <v>0.05</v>
      </c>
      <c r="G26" s="55">
        <v>0.05</v>
      </c>
      <c r="H26" s="55">
        <v>0.05</v>
      </c>
      <c r="I26" s="55">
        <v>0.05</v>
      </c>
      <c r="J26" s="55">
        <v>0.05</v>
      </c>
      <c r="K26" s="55">
        <v>0.05</v>
      </c>
      <c r="L26" s="55">
        <v>0.05</v>
      </c>
      <c r="M26" s="55">
        <v>0.05</v>
      </c>
      <c r="N26" s="55">
        <v>0.05</v>
      </c>
    </row>
    <row r="27" spans="1:14" x14ac:dyDescent="0.2">
      <c r="B27" t="s">
        <v>144</v>
      </c>
      <c r="C27" t="s">
        <v>53</v>
      </c>
      <c r="D27" t="s">
        <v>53</v>
      </c>
      <c r="E27" t="s">
        <v>53</v>
      </c>
      <c r="F27" t="s">
        <v>53</v>
      </c>
      <c r="G27" t="s">
        <v>53</v>
      </c>
      <c r="H27" t="s">
        <v>53</v>
      </c>
      <c r="I27" t="s">
        <v>53</v>
      </c>
      <c r="J27" t="s">
        <v>53</v>
      </c>
      <c r="K27" t="s">
        <v>53</v>
      </c>
      <c r="L27" t="s">
        <v>53</v>
      </c>
      <c r="M27" t="s">
        <v>53</v>
      </c>
      <c r="N27" t="s">
        <v>53</v>
      </c>
    </row>
    <row r="28" spans="1:14" x14ac:dyDescent="0.2">
      <c r="B28" t="s">
        <v>145</v>
      </c>
      <c r="C28" s="54">
        <f>RKO!C28</f>
        <v>0.1125</v>
      </c>
      <c r="D28" s="54">
        <f>C28</f>
        <v>0.1125</v>
      </c>
      <c r="E28" s="54">
        <f t="shared" ref="E28:N28" si="33">D28</f>
        <v>0.1125</v>
      </c>
      <c r="F28" s="54">
        <f t="shared" si="33"/>
        <v>0.1125</v>
      </c>
      <c r="G28" s="54">
        <f t="shared" si="33"/>
        <v>0.1125</v>
      </c>
      <c r="H28" s="54">
        <f t="shared" si="33"/>
        <v>0.1125</v>
      </c>
      <c r="I28" s="54">
        <f t="shared" si="33"/>
        <v>0.1125</v>
      </c>
      <c r="J28" s="54">
        <f t="shared" si="33"/>
        <v>0.1125</v>
      </c>
      <c r="K28" s="54">
        <f t="shared" si="33"/>
        <v>0.1125</v>
      </c>
      <c r="L28" s="54">
        <f t="shared" si="33"/>
        <v>0.1125</v>
      </c>
      <c r="M28" s="54">
        <f t="shared" si="33"/>
        <v>0.1125</v>
      </c>
      <c r="N28" s="54">
        <f t="shared" si="33"/>
        <v>0.1125</v>
      </c>
    </row>
    <row r="29" spans="1:14" x14ac:dyDescent="0.2">
      <c r="B29" t="s">
        <v>147</v>
      </c>
      <c r="C29" t="s">
        <v>159</v>
      </c>
      <c r="D29" t="s">
        <v>159</v>
      </c>
      <c r="E29" t="s">
        <v>159</v>
      </c>
      <c r="F29" t="s">
        <v>159</v>
      </c>
      <c r="G29" t="s">
        <v>159</v>
      </c>
      <c r="H29" t="s">
        <v>159</v>
      </c>
      <c r="I29" t="s">
        <v>159</v>
      </c>
      <c r="J29" t="s">
        <v>159</v>
      </c>
      <c r="K29" t="s">
        <v>159</v>
      </c>
      <c r="L29" t="s">
        <v>159</v>
      </c>
      <c r="M29" t="s">
        <v>159</v>
      </c>
      <c r="N29" t="s">
        <v>159</v>
      </c>
    </row>
    <row r="30" spans="1:14" x14ac:dyDescent="0.2">
      <c r="B30" t="s">
        <v>138</v>
      </c>
      <c r="C30" s="58">
        <f t="shared" ref="C30:N30" si="34">Vanilla(C19,C20,C21,C22,C23,C24,C25,C26,C27,C28,$B30,C29)</f>
        <v>-0.71771168755704318</v>
      </c>
      <c r="D30" s="58">
        <f t="shared" si="34"/>
        <v>-0.64823035667468176</v>
      </c>
      <c r="E30" s="58">
        <f t="shared" si="34"/>
        <v>-0.57664883221633312</v>
      </c>
      <c r="F30" s="58">
        <f t="shared" si="34"/>
        <v>-0.50483606776065548</v>
      </c>
      <c r="G30" s="58">
        <f t="shared" si="34"/>
        <v>-0.43467326029271636</v>
      </c>
      <c r="H30" s="58">
        <f t="shared" si="34"/>
        <v>-0.36789621495248526</v>
      </c>
      <c r="I30" s="58">
        <f t="shared" si="34"/>
        <v>-0.3059619607140841</v>
      </c>
      <c r="J30" s="58">
        <f t="shared" si="34"/>
        <v>-0.24995872752273743</v>
      </c>
      <c r="K30" s="58">
        <f t="shared" si="34"/>
        <v>-0.20056260802666048</v>
      </c>
      <c r="L30" s="58">
        <f t="shared" si="34"/>
        <v>-0.15804170676884466</v>
      </c>
      <c r="M30" s="58">
        <f t="shared" si="34"/>
        <v>-0.1222995296132347</v>
      </c>
      <c r="N30" s="58">
        <f t="shared" si="34"/>
        <v>-9.2945344832399621E-2</v>
      </c>
    </row>
    <row r="31" spans="1:14" x14ac:dyDescent="0.2">
      <c r="B31" t="s">
        <v>158</v>
      </c>
      <c r="C31" s="58">
        <f t="shared" ref="C31:N31" si="35">Vanilla(C19,C20,C21,C22,C23,C24,C25,C26,C27,C28,$B31,C29)</f>
        <v>1.7393463916377644E-3</v>
      </c>
      <c r="D31" s="58">
        <f t="shared" si="35"/>
        <v>1.863683183517949E-3</v>
      </c>
      <c r="E31" s="58">
        <f t="shared" si="35"/>
        <v>1.9376067384015395E-3</v>
      </c>
      <c r="F31" s="58">
        <f t="shared" si="35"/>
        <v>1.956301284425917E-3</v>
      </c>
      <c r="G31" s="58">
        <f t="shared" si="35"/>
        <v>1.9197238289499871E-3</v>
      </c>
      <c r="H31" s="82">
        <f t="shared" si="35"/>
        <v>1.8323942526408995E-3</v>
      </c>
      <c r="I31" s="58">
        <f t="shared" si="35"/>
        <v>1.7025852272829522E-3</v>
      </c>
      <c r="J31" s="58">
        <f t="shared" si="35"/>
        <v>1.5410973336280349E-3</v>
      </c>
      <c r="K31" s="58">
        <f t="shared" si="35"/>
        <v>1.3598573878627973E-3</v>
      </c>
      <c r="L31" s="58">
        <f t="shared" si="35"/>
        <v>1.1705752288328176E-3</v>
      </c>
      <c r="M31" s="58">
        <f t="shared" si="35"/>
        <v>9.836457459316203E-4</v>
      </c>
      <c r="N31" s="58">
        <f t="shared" si="35"/>
        <v>8.0740764080123044E-4</v>
      </c>
    </row>
    <row r="32" spans="1:14" x14ac:dyDescent="0.2">
      <c r="B32" t="s">
        <v>137</v>
      </c>
      <c r="C32" s="58">
        <f t="shared" ref="C32:N32" si="36">Vanilla(C19,C20,C21,C22,C23,C24,C25,C26,C27,C28,$B32,C29)</f>
        <v>3.959488342204398E-2</v>
      </c>
      <c r="D32" s="58">
        <f t="shared" si="36"/>
        <v>3.2993104828150523E-2</v>
      </c>
      <c r="E32" s="58">
        <f t="shared" si="36"/>
        <v>2.713084958515883E-2</v>
      </c>
      <c r="F32" s="58">
        <f t="shared" si="36"/>
        <v>2.2005471300124427E-2</v>
      </c>
      <c r="G32" s="58">
        <f t="shared" si="36"/>
        <v>1.7595935136646614E-2</v>
      </c>
      <c r="H32" s="58">
        <f t="shared" si="36"/>
        <v>1.3865833999177592E-2</v>
      </c>
      <c r="I32" s="58">
        <f t="shared" si="36"/>
        <v>1.0764254062627213E-2</v>
      </c>
      <c r="J32" s="58">
        <f t="shared" si="36"/>
        <v>8.2302079758668541E-3</v>
      </c>
      <c r="K32" s="58">
        <f t="shared" si="36"/>
        <v>6.196412756911132E-3</v>
      </c>
      <c r="L32" s="58">
        <f t="shared" si="36"/>
        <v>4.593164525076813E-3</v>
      </c>
      <c r="M32" s="58">
        <f t="shared" si="36"/>
        <v>3.3518775307783536E-3</v>
      </c>
      <c r="N32" s="58">
        <f t="shared" si="36"/>
        <v>2.4079721474859392E-3</v>
      </c>
    </row>
    <row r="33" spans="1:14" x14ac:dyDescent="0.2">
      <c r="B33" s="65">
        <f>RKO!G31</f>
        <v>8482742.4120964333</v>
      </c>
      <c r="C33" s="69">
        <f t="shared" ref="C33:N33" si="37">C31*$B33</f>
        <v>14754.427405672557</v>
      </c>
      <c r="D33" s="69">
        <f t="shared" si="37"/>
        <v>15809.144383538607</v>
      </c>
      <c r="E33" s="69">
        <f t="shared" si="37"/>
        <v>16436.218857802578</v>
      </c>
      <c r="F33" s="69">
        <f t="shared" si="37"/>
        <v>16594.799876238452</v>
      </c>
      <c r="G33" s="69">
        <f t="shared" si="37"/>
        <v>16284.522743346215</v>
      </c>
      <c r="H33" s="69">
        <f t="shared" si="37"/>
        <v>15543.728442558706</v>
      </c>
      <c r="I33" s="69">
        <f t="shared" si="37"/>
        <v>14442.591917681944</v>
      </c>
      <c r="J33" s="69">
        <f t="shared" si="37"/>
        <v>13072.731713135259</v>
      </c>
      <c r="K33" s="69">
        <f t="shared" si="37"/>
        <v>11535.319938426421</v>
      </c>
      <c r="L33" s="69">
        <f t="shared" si="37"/>
        <v>9929.6881401696301</v>
      </c>
      <c r="M33" s="69">
        <f t="shared" si="37"/>
        <v>8344.0134874923879</v>
      </c>
      <c r="N33" s="69">
        <f t="shared" si="37"/>
        <v>6849.0310384753202</v>
      </c>
    </row>
    <row r="35" spans="1:14" x14ac:dyDescent="0.2">
      <c r="C35" t="s">
        <v>95</v>
      </c>
      <c r="D35" t="s">
        <v>95</v>
      </c>
      <c r="E35" t="s">
        <v>95</v>
      </c>
      <c r="F35" t="s">
        <v>95</v>
      </c>
      <c r="G35" t="s">
        <v>95</v>
      </c>
      <c r="H35" t="s">
        <v>95</v>
      </c>
      <c r="I35" t="s">
        <v>95</v>
      </c>
      <c r="J35" t="s">
        <v>95</v>
      </c>
      <c r="K35" t="s">
        <v>95</v>
      </c>
      <c r="L35" t="s">
        <v>95</v>
      </c>
      <c r="M35" t="s">
        <v>95</v>
      </c>
      <c r="N35" t="s">
        <v>95</v>
      </c>
    </row>
    <row r="36" spans="1:14" x14ac:dyDescent="0.2">
      <c r="B36" t="s">
        <v>142</v>
      </c>
      <c r="C36" t="s">
        <v>186</v>
      </c>
      <c r="D36" t="s">
        <v>186</v>
      </c>
      <c r="E36" t="s">
        <v>186</v>
      </c>
      <c r="F36" t="s">
        <v>186</v>
      </c>
      <c r="G36" t="s">
        <v>186</v>
      </c>
      <c r="H36" t="s">
        <v>186</v>
      </c>
      <c r="I36" t="s">
        <v>186</v>
      </c>
      <c r="J36" t="s">
        <v>186</v>
      </c>
      <c r="K36" t="s">
        <v>186</v>
      </c>
      <c r="L36" t="s">
        <v>186</v>
      </c>
      <c r="M36" t="s">
        <v>186</v>
      </c>
      <c r="N36" t="s">
        <v>186</v>
      </c>
    </row>
    <row r="37" spans="1:14" x14ac:dyDescent="0.2">
      <c r="B37" t="s">
        <v>63</v>
      </c>
      <c r="C37" s="61">
        <v>41340</v>
      </c>
      <c r="D37" s="61">
        <v>41340</v>
      </c>
      <c r="E37" s="61">
        <v>41340</v>
      </c>
      <c r="F37" s="61">
        <v>41340</v>
      </c>
      <c r="G37" s="61">
        <v>41340</v>
      </c>
      <c r="H37" s="61">
        <v>41340</v>
      </c>
      <c r="I37" s="61">
        <v>41340</v>
      </c>
      <c r="J37" s="61">
        <v>41340</v>
      </c>
      <c r="K37" s="61">
        <v>41340</v>
      </c>
      <c r="L37" s="61">
        <v>41340</v>
      </c>
      <c r="M37" s="61">
        <v>41340</v>
      </c>
      <c r="N37" s="61">
        <v>41340</v>
      </c>
    </row>
    <row r="38" spans="1:14" x14ac:dyDescent="0.2">
      <c r="B38" t="s">
        <v>64</v>
      </c>
      <c r="C38" s="61">
        <v>41430</v>
      </c>
      <c r="D38" s="61">
        <f>C38</f>
        <v>41430</v>
      </c>
      <c r="E38" s="61">
        <f t="shared" ref="E38:N38" si="38">D38</f>
        <v>41430</v>
      </c>
      <c r="F38" s="61">
        <f t="shared" si="38"/>
        <v>41430</v>
      </c>
      <c r="G38" s="61">
        <f t="shared" si="38"/>
        <v>41430</v>
      </c>
      <c r="H38" s="61">
        <f t="shared" si="38"/>
        <v>41430</v>
      </c>
      <c r="I38" s="61">
        <f t="shared" si="38"/>
        <v>41430</v>
      </c>
      <c r="J38" s="61">
        <f t="shared" si="38"/>
        <v>41430</v>
      </c>
      <c r="K38" s="61">
        <f t="shared" si="38"/>
        <v>41430</v>
      </c>
      <c r="L38" s="61">
        <f t="shared" si="38"/>
        <v>41430</v>
      </c>
      <c r="M38" s="61">
        <f t="shared" si="38"/>
        <v>41430</v>
      </c>
      <c r="N38" s="61">
        <f t="shared" si="38"/>
        <v>41430</v>
      </c>
    </row>
    <row r="39" spans="1:14" ht="15" x14ac:dyDescent="0.25">
      <c r="A39" t="s">
        <v>235</v>
      </c>
      <c r="B39" t="s">
        <v>65</v>
      </c>
      <c r="C39" s="83">
        <f>RKO!C6</f>
        <v>113.98252701652383</v>
      </c>
      <c r="D39" s="84">
        <f>C39</f>
        <v>113.98252701652383</v>
      </c>
      <c r="E39" s="57">
        <f>D39</f>
        <v>113.98252701652383</v>
      </c>
      <c r="F39" s="57">
        <f t="shared" ref="F39:N39" si="39">E39</f>
        <v>113.98252701652383</v>
      </c>
      <c r="G39" s="57">
        <f t="shared" si="39"/>
        <v>113.98252701652383</v>
      </c>
      <c r="H39" s="57">
        <f t="shared" si="39"/>
        <v>113.98252701652383</v>
      </c>
      <c r="I39" s="57">
        <f t="shared" si="39"/>
        <v>113.98252701652383</v>
      </c>
      <c r="J39" s="57">
        <f t="shared" si="39"/>
        <v>113.98252701652383</v>
      </c>
      <c r="K39" s="57">
        <f t="shared" si="39"/>
        <v>113.98252701652383</v>
      </c>
      <c r="L39" s="57">
        <f t="shared" si="39"/>
        <v>113.98252701652383</v>
      </c>
      <c r="M39" s="57">
        <f t="shared" si="39"/>
        <v>113.98252701652383</v>
      </c>
      <c r="N39" s="57">
        <f t="shared" si="39"/>
        <v>113.98252701652383</v>
      </c>
    </row>
    <row r="40" spans="1:14" x14ac:dyDescent="0.2">
      <c r="B40" t="s">
        <v>66</v>
      </c>
      <c r="C40" s="57">
        <f t="shared" ref="C40:N40" si="40">C8</f>
        <v>103</v>
      </c>
      <c r="D40" s="57">
        <f t="shared" si="40"/>
        <v>104</v>
      </c>
      <c r="E40" s="57">
        <f t="shared" si="40"/>
        <v>105</v>
      </c>
      <c r="F40" s="57">
        <f t="shared" si="40"/>
        <v>106</v>
      </c>
      <c r="G40" s="57">
        <f t="shared" si="40"/>
        <v>107</v>
      </c>
      <c r="H40" s="57">
        <f t="shared" si="40"/>
        <v>108</v>
      </c>
      <c r="I40" s="57">
        <f t="shared" si="40"/>
        <v>109</v>
      </c>
      <c r="J40" s="57">
        <f t="shared" si="40"/>
        <v>110</v>
      </c>
      <c r="K40" s="57">
        <f t="shared" si="40"/>
        <v>111</v>
      </c>
      <c r="L40" s="57">
        <f t="shared" si="40"/>
        <v>112</v>
      </c>
      <c r="M40" s="57">
        <f t="shared" si="40"/>
        <v>113</v>
      </c>
      <c r="N40" s="57">
        <f t="shared" si="40"/>
        <v>114</v>
      </c>
    </row>
    <row r="41" spans="1:14" x14ac:dyDescent="0.2">
      <c r="B41" t="s">
        <v>67</v>
      </c>
      <c r="C41" s="57">
        <f>C40</f>
        <v>103</v>
      </c>
      <c r="D41" s="57">
        <f t="shared" ref="D41" si="41">D40</f>
        <v>104</v>
      </c>
      <c r="E41" s="57">
        <f t="shared" ref="E41:N41" si="42">E40</f>
        <v>105</v>
      </c>
      <c r="F41" s="57">
        <f t="shared" si="42"/>
        <v>106</v>
      </c>
      <c r="G41" s="57">
        <f t="shared" si="42"/>
        <v>107</v>
      </c>
      <c r="H41" s="57">
        <f t="shared" si="42"/>
        <v>108</v>
      </c>
      <c r="I41" s="57">
        <f t="shared" si="42"/>
        <v>109</v>
      </c>
      <c r="J41" s="57">
        <f t="shared" si="42"/>
        <v>110</v>
      </c>
      <c r="K41" s="57">
        <f t="shared" si="42"/>
        <v>111</v>
      </c>
      <c r="L41" s="57">
        <f t="shared" si="42"/>
        <v>112</v>
      </c>
      <c r="M41" s="57">
        <f t="shared" si="42"/>
        <v>113</v>
      </c>
      <c r="N41" s="57">
        <f t="shared" si="42"/>
        <v>114</v>
      </c>
    </row>
    <row r="42" spans="1:14" x14ac:dyDescent="0.2">
      <c r="B42" t="s">
        <v>143</v>
      </c>
      <c r="C42" s="55">
        <v>0.05</v>
      </c>
      <c r="D42" s="55">
        <v>0.05</v>
      </c>
      <c r="E42" s="55">
        <v>0.05</v>
      </c>
      <c r="F42" s="55">
        <v>0.05</v>
      </c>
      <c r="G42" s="55">
        <v>0.05</v>
      </c>
      <c r="H42" s="55">
        <v>0.05</v>
      </c>
      <c r="I42" s="55">
        <v>0.05</v>
      </c>
      <c r="J42" s="55">
        <v>0.05</v>
      </c>
      <c r="K42" s="55">
        <v>0.05</v>
      </c>
      <c r="L42" s="55">
        <v>0.05</v>
      </c>
      <c r="M42" s="55">
        <v>0.05</v>
      </c>
      <c r="N42" s="55">
        <v>0.05</v>
      </c>
    </row>
    <row r="43" spans="1:14" x14ac:dyDescent="0.2">
      <c r="B43" t="s">
        <v>144</v>
      </c>
      <c r="C43" t="s">
        <v>53</v>
      </c>
      <c r="D43" t="s">
        <v>53</v>
      </c>
      <c r="E43" t="s">
        <v>53</v>
      </c>
      <c r="F43" t="s">
        <v>53</v>
      </c>
      <c r="G43" t="s">
        <v>53</v>
      </c>
      <c r="H43" t="s">
        <v>53</v>
      </c>
      <c r="I43" t="s">
        <v>53</v>
      </c>
      <c r="J43" t="s">
        <v>53</v>
      </c>
      <c r="K43" t="s">
        <v>53</v>
      </c>
      <c r="L43" t="s">
        <v>53</v>
      </c>
      <c r="M43" t="s">
        <v>53</v>
      </c>
      <c r="N43" t="s">
        <v>53</v>
      </c>
    </row>
    <row r="44" spans="1:14" x14ac:dyDescent="0.2">
      <c r="B44" t="s">
        <v>145</v>
      </c>
      <c r="C44" s="54">
        <f>RKO!C11</f>
        <v>0.1075</v>
      </c>
      <c r="D44" s="54">
        <f>C44</f>
        <v>0.1075</v>
      </c>
      <c r="E44" s="54">
        <f t="shared" ref="E44:N44" si="43">D44</f>
        <v>0.1075</v>
      </c>
      <c r="F44" s="54">
        <f t="shared" si="43"/>
        <v>0.1075</v>
      </c>
      <c r="G44" s="54">
        <f t="shared" si="43"/>
        <v>0.1075</v>
      </c>
      <c r="H44" s="54">
        <f t="shared" si="43"/>
        <v>0.1075</v>
      </c>
      <c r="I44" s="54">
        <f t="shared" si="43"/>
        <v>0.1075</v>
      </c>
      <c r="J44" s="54">
        <f t="shared" si="43"/>
        <v>0.1075</v>
      </c>
      <c r="K44" s="54">
        <f t="shared" si="43"/>
        <v>0.1075</v>
      </c>
      <c r="L44" s="54">
        <f t="shared" si="43"/>
        <v>0.1075</v>
      </c>
      <c r="M44" s="54">
        <f t="shared" si="43"/>
        <v>0.1075</v>
      </c>
      <c r="N44" s="54">
        <f t="shared" si="43"/>
        <v>0.1075</v>
      </c>
    </row>
    <row r="45" spans="1:14" x14ac:dyDescent="0.2">
      <c r="B45" t="s">
        <v>147</v>
      </c>
      <c r="C45" t="s">
        <v>159</v>
      </c>
      <c r="D45" t="s">
        <v>159</v>
      </c>
      <c r="E45" t="s">
        <v>159</v>
      </c>
      <c r="F45" t="s">
        <v>159</v>
      </c>
      <c r="G45" t="s">
        <v>159</v>
      </c>
      <c r="H45" t="s">
        <v>159</v>
      </c>
      <c r="I45" t="s">
        <v>159</v>
      </c>
      <c r="J45" t="s">
        <v>159</v>
      </c>
      <c r="K45" t="s">
        <v>159</v>
      </c>
      <c r="L45" t="s">
        <v>159</v>
      </c>
      <c r="M45" t="s">
        <v>159</v>
      </c>
      <c r="N45" t="s">
        <v>159</v>
      </c>
    </row>
    <row r="46" spans="1:14" x14ac:dyDescent="0.2">
      <c r="B46" t="s">
        <v>138</v>
      </c>
      <c r="C46" s="58">
        <f t="shared" ref="C46:N46" si="44">Vanilla(C35,C36,C37,C38,C39,C40,C41,C42,C43,C44,$B46,C45)</f>
        <v>2.9664833406175775E-2</v>
      </c>
      <c r="D46" s="58">
        <f t="shared" si="44"/>
        <v>4.3967126937472012E-2</v>
      </c>
      <c r="E46" s="58">
        <f t="shared" si="44"/>
        <v>6.3123498966315056E-2</v>
      </c>
      <c r="F46" s="58">
        <f t="shared" si="44"/>
        <v>8.7900774098118903E-2</v>
      </c>
      <c r="G46" s="58">
        <f t="shared" si="44"/>
        <v>0.11887623581103179</v>
      </c>
      <c r="H46" s="58">
        <f t="shared" si="44"/>
        <v>0.15633715436220805</v>
      </c>
      <c r="I46" s="58">
        <f t="shared" si="44"/>
        <v>0.2001991006097999</v>
      </c>
      <c r="J46" s="58">
        <f t="shared" si="44"/>
        <v>0.2499587102938452</v>
      </c>
      <c r="K46" s="58">
        <f t="shared" si="44"/>
        <v>0.30469207909562851</v>
      </c>
      <c r="L46" s="58">
        <f t="shared" si="44"/>
        <v>0.36310279611860752</v>
      </c>
      <c r="M46" s="58">
        <f t="shared" si="44"/>
        <v>0.42361530324506669</v>
      </c>
      <c r="N46" s="58">
        <f t="shared" si="44"/>
        <v>0.48450167199977512</v>
      </c>
    </row>
    <row r="47" spans="1:14" x14ac:dyDescent="0.2">
      <c r="B47" t="s">
        <v>158</v>
      </c>
      <c r="C47" s="58">
        <f t="shared" ref="C47:N47" si="45">Vanilla(C35,C36,C37,C38,C39,C40,C41,C42,C43,C44,$B47,C45)</f>
        <v>3.3978585868734665E-4</v>
      </c>
      <c r="D47" s="58">
        <f t="shared" si="45"/>
        <v>4.6901859503518484E-4</v>
      </c>
      <c r="E47" s="58">
        <f t="shared" si="45"/>
        <v>6.2490042229129271E-4</v>
      </c>
      <c r="F47" s="58">
        <f t="shared" si="45"/>
        <v>8.0443534415235325E-4</v>
      </c>
      <c r="G47" s="58">
        <f t="shared" si="45"/>
        <v>1.0014752167432509E-3</v>
      </c>
      <c r="H47" s="82">
        <f t="shared" si="45"/>
        <v>1.2068502197284344E-3</v>
      </c>
      <c r="I47" s="58">
        <f t="shared" si="45"/>
        <v>1.4090058231541966E-3</v>
      </c>
      <c r="J47" s="58">
        <f t="shared" si="45"/>
        <v>1.5950999827647134E-3</v>
      </c>
      <c r="K47" s="58">
        <f t="shared" si="45"/>
        <v>1.7524112841193476E-3</v>
      </c>
      <c r="L47" s="58">
        <f t="shared" si="45"/>
        <v>1.8698329644219666E-3</v>
      </c>
      <c r="M47" s="58">
        <f t="shared" si="45"/>
        <v>1.9392002406111485E-3</v>
      </c>
      <c r="N47" s="58">
        <f t="shared" si="45"/>
        <v>1.9562270309173876E-3</v>
      </c>
    </row>
    <row r="48" spans="1:14" x14ac:dyDescent="0.2">
      <c r="B48" t="s">
        <v>137</v>
      </c>
      <c r="C48" s="58">
        <f t="shared" ref="C48:N48" si="46">Vanilla(C35,C36,C37,C38,C39,C40,C41,C42,C43,C44,$B48,C45)</f>
        <v>6.16295037193035E-4</v>
      </c>
      <c r="D48" s="58">
        <f t="shared" si="46"/>
        <v>9.6833262908908326E-4</v>
      </c>
      <c r="E48" s="58">
        <f t="shared" si="46"/>
        <v>1.4763869605103556E-3</v>
      </c>
      <c r="F48" s="58">
        <f t="shared" si="46"/>
        <v>2.1872471064618921E-3</v>
      </c>
      <c r="G48" s="58">
        <f t="shared" si="46"/>
        <v>3.1527839509547431E-3</v>
      </c>
      <c r="H48" s="58">
        <f t="shared" si="46"/>
        <v>4.4275234312883298E-3</v>
      </c>
      <c r="I48" s="58">
        <f t="shared" si="46"/>
        <v>6.0654731962422569E-3</v>
      </c>
      <c r="J48" s="58">
        <f t="shared" si="46"/>
        <v>8.1164881681640606E-3</v>
      </c>
      <c r="K48" s="58">
        <f t="shared" si="46"/>
        <v>1.0622573632004516E-2</v>
      </c>
      <c r="L48" s="58">
        <f t="shared" si="46"/>
        <v>1.3614582606731871E-2</v>
      </c>
      <c r="M48" s="58">
        <f t="shared" si="46"/>
        <v>1.7109754629992601E-2</v>
      </c>
      <c r="N48" s="58">
        <f t="shared" si="46"/>
        <v>2.1110417353089508E-2</v>
      </c>
    </row>
    <row r="49" spans="2:14" x14ac:dyDescent="0.2">
      <c r="B49" s="65">
        <f>RKO!G32</f>
        <v>669199762.01759923</v>
      </c>
      <c r="C49" s="69">
        <f t="shared" ref="C49:N49" si="47">C47*$B49</f>
        <v>227384.61577051796</v>
      </c>
      <c r="D49" s="69">
        <f t="shared" si="47"/>
        <v>313867.13217937446</v>
      </c>
      <c r="E49" s="69">
        <f t="shared" si="47"/>
        <v>418183.21388203034</v>
      </c>
      <c r="F49" s="69">
        <f t="shared" si="47"/>
        <v>538327.94086530036</v>
      </c>
      <c r="G49" s="69">
        <f t="shared" si="47"/>
        <v>670186.97671110707</v>
      </c>
      <c r="H49" s="69">
        <f t="shared" si="47"/>
        <v>807623.87983315566</v>
      </c>
      <c r="I49" s="69">
        <f t="shared" si="47"/>
        <v>942906.36153619981</v>
      </c>
      <c r="J49" s="69">
        <f t="shared" si="47"/>
        <v>1067440.5288604228</v>
      </c>
      <c r="K49" s="69">
        <f t="shared" si="47"/>
        <v>1172713.2142896228</v>
      </c>
      <c r="L49" s="69">
        <f t="shared" si="47"/>
        <v>1251291.7748038422</v>
      </c>
      <c r="M49" s="69">
        <f t="shared" si="47"/>
        <v>1297712.3395214516</v>
      </c>
      <c r="N49" s="69">
        <f t="shared" si="47"/>
        <v>1309106.6635423105</v>
      </c>
    </row>
    <row r="52" spans="2:14" x14ac:dyDescent="0.2">
      <c r="B52" t="s">
        <v>191</v>
      </c>
      <c r="C52" s="57">
        <f t="shared" ref="C52:N52" si="48">C40</f>
        <v>103</v>
      </c>
      <c r="D52" s="57">
        <f t="shared" si="48"/>
        <v>104</v>
      </c>
      <c r="E52" s="57">
        <f t="shared" si="48"/>
        <v>105</v>
      </c>
      <c r="F52" s="57">
        <f t="shared" si="48"/>
        <v>106</v>
      </c>
      <c r="G52" s="57">
        <f t="shared" si="48"/>
        <v>107</v>
      </c>
      <c r="H52" s="57">
        <f t="shared" si="48"/>
        <v>108</v>
      </c>
      <c r="I52" s="57">
        <f t="shared" si="48"/>
        <v>109</v>
      </c>
      <c r="J52" s="57">
        <f t="shared" si="48"/>
        <v>110</v>
      </c>
      <c r="K52" s="57">
        <f t="shared" si="48"/>
        <v>111</v>
      </c>
      <c r="L52" s="57">
        <f t="shared" si="48"/>
        <v>112</v>
      </c>
      <c r="M52" s="57">
        <f t="shared" si="48"/>
        <v>113</v>
      </c>
      <c r="N52" s="57">
        <f t="shared" si="48"/>
        <v>114</v>
      </c>
    </row>
    <row r="53" spans="2:14" x14ac:dyDescent="0.2">
      <c r="B53" t="s">
        <v>228</v>
      </c>
      <c r="C53" s="65">
        <f>C49+C33+C17</f>
        <v>-21158.400377767277</v>
      </c>
      <c r="D53" s="65">
        <f t="shared" ref="D53:N53" si="49">D49+D33+D17</f>
        <v>-1395.6211622342817</v>
      </c>
      <c r="E53" s="65">
        <f t="shared" si="49"/>
        <v>34454.440385860275</v>
      </c>
      <c r="F53" s="65">
        <f t="shared" si="49"/>
        <v>89470.467240945552</v>
      </c>
      <c r="G53" s="65">
        <f t="shared" si="49"/>
        <v>164925.79782187857</v>
      </c>
      <c r="H53" s="65">
        <f t="shared" si="49"/>
        <v>259611.76558492414</v>
      </c>
      <c r="I53" s="65">
        <f t="shared" si="49"/>
        <v>369534.65474979358</v>
      </c>
      <c r="J53" s="65">
        <f t="shared" si="49"/>
        <v>488108.14359563892</v>
      </c>
      <c r="K53" s="65">
        <f t="shared" si="49"/>
        <v>606849.56543307658</v>
      </c>
      <c r="L53" s="65">
        <f t="shared" si="49"/>
        <v>716465.97122354759</v>
      </c>
      <c r="M53" s="65">
        <f t="shared" si="49"/>
        <v>808121.16654757829</v>
      </c>
      <c r="N53" s="65">
        <f t="shared" si="49"/>
        <v>874634.6886680047</v>
      </c>
    </row>
    <row r="54" spans="2:14" x14ac:dyDescent="0.2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</row>
    <row r="56" spans="2:14" x14ac:dyDescent="0.2">
      <c r="C56" t="s">
        <v>188</v>
      </c>
      <c r="D56" t="s">
        <v>188</v>
      </c>
      <c r="E56" t="s">
        <v>188</v>
      </c>
      <c r="F56" t="s">
        <v>188</v>
      </c>
      <c r="G56" t="s">
        <v>188</v>
      </c>
      <c r="H56" t="s">
        <v>188</v>
      </c>
      <c r="I56" t="s">
        <v>188</v>
      </c>
      <c r="J56" t="s">
        <v>188</v>
      </c>
      <c r="K56" t="s">
        <v>188</v>
      </c>
      <c r="L56" t="s">
        <v>188</v>
      </c>
      <c r="M56" t="s">
        <v>188</v>
      </c>
      <c r="N56" t="s">
        <v>188</v>
      </c>
    </row>
    <row r="57" spans="2:14" x14ac:dyDescent="0.2">
      <c r="C57">
        <v>80</v>
      </c>
      <c r="D57">
        <v>80</v>
      </c>
      <c r="E57">
        <v>80</v>
      </c>
      <c r="F57">
        <v>80</v>
      </c>
      <c r="G57">
        <v>80</v>
      </c>
      <c r="H57">
        <v>80</v>
      </c>
      <c r="I57">
        <v>80</v>
      </c>
      <c r="J57">
        <v>80</v>
      </c>
      <c r="K57">
        <v>80</v>
      </c>
      <c r="L57">
        <v>80</v>
      </c>
      <c r="M57">
        <v>80</v>
      </c>
      <c r="N57">
        <v>80</v>
      </c>
    </row>
    <row r="58" spans="2:14" x14ac:dyDescent="0.2">
      <c r="C58" t="s">
        <v>95</v>
      </c>
      <c r="D58" t="s">
        <v>95</v>
      </c>
      <c r="E58" t="s">
        <v>95</v>
      </c>
      <c r="F58" t="s">
        <v>95</v>
      </c>
      <c r="G58" t="s">
        <v>95</v>
      </c>
      <c r="H58" t="s">
        <v>95</v>
      </c>
      <c r="I58" t="s">
        <v>95</v>
      </c>
      <c r="J58" t="s">
        <v>95</v>
      </c>
      <c r="K58" t="s">
        <v>95</v>
      </c>
      <c r="L58" t="s">
        <v>95</v>
      </c>
      <c r="M58" t="s">
        <v>95</v>
      </c>
      <c r="N58" t="s">
        <v>95</v>
      </c>
    </row>
    <row r="59" spans="2:14" x14ac:dyDescent="0.2">
      <c r="B59" t="s">
        <v>142</v>
      </c>
      <c r="C59" t="s">
        <v>186</v>
      </c>
      <c r="D59" t="s">
        <v>186</v>
      </c>
      <c r="E59" t="s">
        <v>186</v>
      </c>
      <c r="F59" t="s">
        <v>186</v>
      </c>
      <c r="G59" t="s">
        <v>186</v>
      </c>
      <c r="H59" t="s">
        <v>186</v>
      </c>
      <c r="I59" t="s">
        <v>186</v>
      </c>
      <c r="J59" t="s">
        <v>186</v>
      </c>
      <c r="K59" t="s">
        <v>186</v>
      </c>
      <c r="L59" t="s">
        <v>186</v>
      </c>
      <c r="M59" t="s">
        <v>186</v>
      </c>
      <c r="N59" t="s">
        <v>186</v>
      </c>
    </row>
    <row r="60" spans="2:14" x14ac:dyDescent="0.2">
      <c r="B60" t="s">
        <v>63</v>
      </c>
      <c r="C60" s="61">
        <v>41340</v>
      </c>
      <c r="D60" s="61">
        <v>41340</v>
      </c>
      <c r="E60" s="61">
        <v>41340</v>
      </c>
      <c r="F60" s="61">
        <v>41340</v>
      </c>
      <c r="G60" s="61">
        <v>41340</v>
      </c>
      <c r="H60" s="61">
        <v>41340</v>
      </c>
      <c r="I60" s="61">
        <v>41340</v>
      </c>
      <c r="J60" s="61">
        <v>41340</v>
      </c>
      <c r="K60" s="61">
        <v>41340</v>
      </c>
      <c r="L60" s="61">
        <v>41340</v>
      </c>
      <c r="M60" s="61">
        <v>41340</v>
      </c>
      <c r="N60" s="61">
        <v>41340</v>
      </c>
    </row>
    <row r="61" spans="2:14" x14ac:dyDescent="0.2">
      <c r="B61" t="s">
        <v>64</v>
      </c>
      <c r="C61" s="61">
        <f t="shared" ref="C61:N61" si="50">C22</f>
        <v>41430</v>
      </c>
      <c r="D61" s="61">
        <f t="shared" si="50"/>
        <v>41430</v>
      </c>
      <c r="E61" s="61">
        <f t="shared" si="50"/>
        <v>41430</v>
      </c>
      <c r="F61" s="61">
        <f t="shared" si="50"/>
        <v>41430</v>
      </c>
      <c r="G61" s="61">
        <f t="shared" si="50"/>
        <v>41430</v>
      </c>
      <c r="H61" s="61">
        <f t="shared" si="50"/>
        <v>41430</v>
      </c>
      <c r="I61" s="61">
        <f t="shared" si="50"/>
        <v>41430</v>
      </c>
      <c r="J61" s="61">
        <f t="shared" si="50"/>
        <v>41430</v>
      </c>
      <c r="K61" s="61">
        <f t="shared" si="50"/>
        <v>41430</v>
      </c>
      <c r="L61" s="61">
        <f t="shared" si="50"/>
        <v>41430</v>
      </c>
      <c r="M61" s="61">
        <f t="shared" si="50"/>
        <v>41430</v>
      </c>
      <c r="N61" s="61">
        <f t="shared" si="50"/>
        <v>41430</v>
      </c>
    </row>
    <row r="62" spans="2:14" x14ac:dyDescent="0.2">
      <c r="B62" t="s">
        <v>65</v>
      </c>
      <c r="C62" s="57">
        <v>100</v>
      </c>
      <c r="D62" s="57">
        <v>100</v>
      </c>
      <c r="E62" s="57">
        <v>100</v>
      </c>
      <c r="F62" s="57">
        <v>100</v>
      </c>
      <c r="G62" s="57">
        <v>100</v>
      </c>
      <c r="H62" s="57">
        <v>100</v>
      </c>
      <c r="I62" s="57">
        <v>100</v>
      </c>
      <c r="J62" s="57">
        <v>100</v>
      </c>
      <c r="K62" s="57">
        <v>100</v>
      </c>
      <c r="L62" s="57">
        <v>100</v>
      </c>
      <c r="M62" s="57">
        <v>100</v>
      </c>
      <c r="N62" s="57">
        <v>100</v>
      </c>
    </row>
    <row r="63" spans="2:14" x14ac:dyDescent="0.2">
      <c r="B63" t="s">
        <v>187</v>
      </c>
      <c r="C63" s="57">
        <v>120</v>
      </c>
      <c r="D63" s="57">
        <v>120</v>
      </c>
      <c r="E63" s="57">
        <v>120</v>
      </c>
      <c r="F63" s="57">
        <v>120</v>
      </c>
      <c r="G63" s="57">
        <v>120</v>
      </c>
      <c r="H63" s="57">
        <v>120</v>
      </c>
      <c r="I63" s="57">
        <v>120</v>
      </c>
      <c r="J63" s="57">
        <v>120</v>
      </c>
      <c r="K63" s="57">
        <v>120</v>
      </c>
      <c r="L63" s="57">
        <v>120</v>
      </c>
      <c r="M63" s="57">
        <v>120</v>
      </c>
      <c r="N63" s="57">
        <v>120</v>
      </c>
    </row>
    <row r="64" spans="2:14" x14ac:dyDescent="0.2">
      <c r="B64" t="s">
        <v>66</v>
      </c>
      <c r="C64" s="57">
        <f t="shared" ref="C64:N64" si="51">C40</f>
        <v>103</v>
      </c>
      <c r="D64" s="57">
        <f t="shared" si="51"/>
        <v>104</v>
      </c>
      <c r="E64" s="57">
        <f t="shared" si="51"/>
        <v>105</v>
      </c>
      <c r="F64" s="57">
        <f t="shared" si="51"/>
        <v>106</v>
      </c>
      <c r="G64" s="57">
        <f t="shared" si="51"/>
        <v>107</v>
      </c>
      <c r="H64" s="57">
        <f t="shared" si="51"/>
        <v>108</v>
      </c>
      <c r="I64" s="57">
        <f t="shared" si="51"/>
        <v>109</v>
      </c>
      <c r="J64" s="57">
        <f t="shared" si="51"/>
        <v>110</v>
      </c>
      <c r="K64" s="57">
        <f t="shared" si="51"/>
        <v>111</v>
      </c>
      <c r="L64" s="57">
        <f t="shared" si="51"/>
        <v>112</v>
      </c>
      <c r="M64" s="57">
        <f t="shared" si="51"/>
        <v>113</v>
      </c>
      <c r="N64" s="57">
        <f t="shared" si="51"/>
        <v>114</v>
      </c>
    </row>
    <row r="65" spans="2:14" x14ac:dyDescent="0.2">
      <c r="B65" t="s">
        <v>67</v>
      </c>
      <c r="C65" s="57">
        <f>C64</f>
        <v>103</v>
      </c>
      <c r="D65" s="57">
        <f t="shared" ref="D65" si="52">D64</f>
        <v>104</v>
      </c>
      <c r="E65" s="57">
        <f t="shared" ref="E65" si="53">E64</f>
        <v>105</v>
      </c>
      <c r="F65" s="57">
        <f t="shared" ref="F65" si="54">F64</f>
        <v>106</v>
      </c>
      <c r="G65" s="57">
        <f t="shared" ref="G65" si="55">G64</f>
        <v>107</v>
      </c>
      <c r="H65" s="57">
        <f t="shared" ref="H65" si="56">H64</f>
        <v>108</v>
      </c>
      <c r="I65" s="57">
        <f t="shared" ref="I65" si="57">I64</f>
        <v>109</v>
      </c>
      <c r="J65" s="57">
        <f t="shared" ref="J65" si="58">J64</f>
        <v>110</v>
      </c>
      <c r="K65" s="57">
        <f t="shared" ref="K65" si="59">K64</f>
        <v>111</v>
      </c>
      <c r="L65" s="57">
        <f t="shared" ref="L65" si="60">L64</f>
        <v>112</v>
      </c>
      <c r="M65" s="57">
        <f t="shared" ref="M65" si="61">M64</f>
        <v>113</v>
      </c>
      <c r="N65" s="57">
        <f t="shared" ref="N65" si="62">N64</f>
        <v>114</v>
      </c>
    </row>
    <row r="66" spans="2:14" x14ac:dyDescent="0.2">
      <c r="B66" t="s">
        <v>143</v>
      </c>
      <c r="C66" s="55">
        <v>0.05</v>
      </c>
      <c r="D66" s="55">
        <v>0.05</v>
      </c>
      <c r="E66" s="55">
        <v>0.05</v>
      </c>
      <c r="F66" s="55">
        <v>0.05</v>
      </c>
      <c r="G66" s="55">
        <v>0.05</v>
      </c>
      <c r="H66" s="55">
        <v>0.05</v>
      </c>
      <c r="I66" s="55">
        <v>0.05</v>
      </c>
      <c r="J66" s="55">
        <v>0.05</v>
      </c>
      <c r="K66" s="55">
        <v>0.05</v>
      </c>
      <c r="L66" s="55">
        <v>0.05</v>
      </c>
      <c r="M66" s="55">
        <v>0.05</v>
      </c>
      <c r="N66" s="55">
        <v>0.05</v>
      </c>
    </row>
    <row r="67" spans="2:14" x14ac:dyDescent="0.2">
      <c r="B67" t="s">
        <v>144</v>
      </c>
      <c r="C67" t="s">
        <v>53</v>
      </c>
      <c r="D67" t="s">
        <v>53</v>
      </c>
      <c r="E67" t="s">
        <v>53</v>
      </c>
      <c r="F67" t="s">
        <v>53</v>
      </c>
      <c r="G67" t="s">
        <v>53</v>
      </c>
      <c r="H67" t="s">
        <v>53</v>
      </c>
      <c r="I67" t="s">
        <v>53</v>
      </c>
      <c r="J67" t="s">
        <v>53</v>
      </c>
      <c r="K67" t="s">
        <v>53</v>
      </c>
      <c r="L67" t="s">
        <v>53</v>
      </c>
      <c r="M67" t="s">
        <v>53</v>
      </c>
      <c r="N67" t="s">
        <v>53</v>
      </c>
    </row>
    <row r="68" spans="2:14" x14ac:dyDescent="0.2">
      <c r="B68" t="s">
        <v>145</v>
      </c>
      <c r="C68" s="54">
        <f>RKO!L8</f>
        <v>0.1</v>
      </c>
      <c r="D68" s="54">
        <f>C68</f>
        <v>0.1</v>
      </c>
      <c r="E68" s="54">
        <f t="shared" ref="E68:N68" si="63">D68</f>
        <v>0.1</v>
      </c>
      <c r="F68" s="54">
        <f t="shared" si="63"/>
        <v>0.1</v>
      </c>
      <c r="G68" s="54">
        <f t="shared" si="63"/>
        <v>0.1</v>
      </c>
      <c r="H68" s="54">
        <f t="shared" si="63"/>
        <v>0.1</v>
      </c>
      <c r="I68" s="54">
        <f t="shared" si="63"/>
        <v>0.1</v>
      </c>
      <c r="J68" s="54">
        <f t="shared" si="63"/>
        <v>0.1</v>
      </c>
      <c r="K68" s="54">
        <f t="shared" si="63"/>
        <v>0.1</v>
      </c>
      <c r="L68" s="54">
        <f t="shared" si="63"/>
        <v>0.1</v>
      </c>
      <c r="M68" s="54">
        <f t="shared" si="63"/>
        <v>0.1</v>
      </c>
      <c r="N68" s="54">
        <f t="shared" si="63"/>
        <v>0.1</v>
      </c>
    </row>
    <row r="69" spans="2:14" x14ac:dyDescent="0.2">
      <c r="B69" t="s">
        <v>146</v>
      </c>
      <c r="C69" t="s">
        <v>138</v>
      </c>
      <c r="D69" t="s">
        <v>138</v>
      </c>
      <c r="E69" t="s">
        <v>138</v>
      </c>
      <c r="F69" t="s">
        <v>138</v>
      </c>
      <c r="G69" t="s">
        <v>138</v>
      </c>
      <c r="H69" t="s">
        <v>138</v>
      </c>
      <c r="I69" t="s">
        <v>138</v>
      </c>
      <c r="J69" t="s">
        <v>138</v>
      </c>
      <c r="K69" t="s">
        <v>138</v>
      </c>
      <c r="L69" t="s">
        <v>138</v>
      </c>
      <c r="M69" t="s">
        <v>138</v>
      </c>
      <c r="N69" t="s">
        <v>138</v>
      </c>
    </row>
    <row r="70" spans="2:14" x14ac:dyDescent="0.2">
      <c r="B70" t="s">
        <v>147</v>
      </c>
      <c r="C70" t="s">
        <v>159</v>
      </c>
      <c r="D70" t="s">
        <v>159</v>
      </c>
      <c r="E70" t="s">
        <v>159</v>
      </c>
      <c r="F70" t="s">
        <v>159</v>
      </c>
      <c r="G70" t="s">
        <v>159</v>
      </c>
      <c r="H70" t="s">
        <v>159</v>
      </c>
      <c r="I70" t="s">
        <v>159</v>
      </c>
      <c r="J70" t="s">
        <v>159</v>
      </c>
      <c r="K70" t="s">
        <v>159</v>
      </c>
      <c r="L70" t="s">
        <v>159</v>
      </c>
      <c r="M70" t="s">
        <v>159</v>
      </c>
      <c r="N70" t="s">
        <v>159</v>
      </c>
    </row>
    <row r="71" spans="2:14" x14ac:dyDescent="0.2">
      <c r="B71" t="s">
        <v>138</v>
      </c>
      <c r="C71" s="58">
        <f t="shared" ref="C71:N71" si="64">KnockOut(C58,C59,C60,C61,C62,C64,C65,C66,C67,C68,C63,C57,$B71,C70)</f>
        <v>0.66161009993875741</v>
      </c>
      <c r="D71" s="58">
        <f t="shared" si="64"/>
        <v>0.69458874202434884</v>
      </c>
      <c r="E71" s="58">
        <f t="shared" si="64"/>
        <v>0.7063466593450427</v>
      </c>
      <c r="F71" s="58">
        <f t="shared" si="64"/>
        <v>0.69206169749267044</v>
      </c>
      <c r="G71" s="58">
        <f t="shared" si="64"/>
        <v>0.64680894754867879</v>
      </c>
      <c r="H71" s="58">
        <f t="shared" si="64"/>
        <v>0.56590519854279031</v>
      </c>
      <c r="I71" s="58">
        <f t="shared" si="64"/>
        <v>0.44555055951055711</v>
      </c>
      <c r="J71" s="58">
        <f t="shared" si="64"/>
        <v>0.28373040506728453</v>
      </c>
      <c r="K71" s="58">
        <f t="shared" si="64"/>
        <v>8.1237870679439175E-2</v>
      </c>
      <c r="L71" s="58">
        <f t="shared" si="64"/>
        <v>-0.15740864392718892</v>
      </c>
      <c r="M71" s="58">
        <f t="shared" si="64"/>
        <v>-0.42341600863332396</v>
      </c>
      <c r="N71" s="58">
        <f t="shared" si="64"/>
        <v>-0.70376622985699411</v>
      </c>
    </row>
    <row r="72" spans="2:14" x14ac:dyDescent="0.2">
      <c r="B72" t="s">
        <v>158</v>
      </c>
      <c r="C72" s="58">
        <f t="shared" ref="C72:N72" si="65">KnockOut(C58,C59,C60,C61,C62,C64,C65,C66,C67,C68,C63,C57,$B72,C70)</f>
        <v>1.230658823160539E-3</v>
      </c>
      <c r="D72" s="58">
        <f t="shared" si="65"/>
        <v>7.6505852637921733E-4</v>
      </c>
      <c r="E72" s="58">
        <f t="shared" si="65"/>
        <v>1.6266141181836137E-4</v>
      </c>
      <c r="F72" s="58">
        <f t="shared" si="65"/>
        <v>-5.8606742462054902E-4</v>
      </c>
      <c r="G72" s="58">
        <f t="shared" si="65"/>
        <v>-1.4853954440255195E-3</v>
      </c>
      <c r="H72" s="82">
        <f t="shared" si="65"/>
        <v>-2.5264383994815253E-3</v>
      </c>
      <c r="I72" s="58">
        <f t="shared" si="65"/>
        <v>-3.6784503932580752E-3</v>
      </c>
      <c r="J72" s="58">
        <f t="shared" si="65"/>
        <v>-4.8820098249938385E-3</v>
      </c>
      <c r="K72" s="58">
        <f t="shared" si="65"/>
        <v>-6.0470215807509895E-3</v>
      </c>
      <c r="L72" s="58">
        <f t="shared" si="65"/>
        <v>-7.0577483907661416E-3</v>
      </c>
      <c r="M72" s="58">
        <f t="shared" si="65"/>
        <v>-7.7855155190814061E-3</v>
      </c>
      <c r="N72" s="58">
        <f t="shared" si="65"/>
        <v>-8.1076570150679442E-3</v>
      </c>
    </row>
    <row r="73" spans="2:14" x14ac:dyDescent="0.2">
      <c r="B73" t="s">
        <v>137</v>
      </c>
      <c r="C73" s="58">
        <f t="shared" ref="C73:N73" si="66">KnockOut(C58,C59,C60,C61,C62,C64,C65,C66,C67,C68,C63,C57,$B73,C70)</f>
        <v>3.6616962579718339E-2</v>
      </c>
      <c r="D73" s="58">
        <f t="shared" si="66"/>
        <v>4.3183612472194072E-2</v>
      </c>
      <c r="E73" s="58">
        <f t="shared" si="66"/>
        <v>4.9905424394160389E-2</v>
      </c>
      <c r="F73" s="58">
        <f t="shared" si="66"/>
        <v>5.6555645306895455E-2</v>
      </c>
      <c r="G73" s="58">
        <f t="shared" si="66"/>
        <v>6.2867966140551138E-2</v>
      </c>
      <c r="H73" s="58">
        <f t="shared" si="66"/>
        <v>6.8538435432585587E-2</v>
      </c>
      <c r="I73" s="58">
        <f t="shared" si="66"/>
        <v>7.3231807566565027E-2</v>
      </c>
      <c r="J73" s="58">
        <f t="shared" si="66"/>
        <v>7.6594708541123074E-2</v>
      </c>
      <c r="K73" s="58">
        <f t="shared" si="66"/>
        <v>7.8277053251273029E-2</v>
      </c>
      <c r="L73" s="58">
        <f t="shared" si="66"/>
        <v>7.79613920776345E-2</v>
      </c>
      <c r="M73" s="58">
        <f t="shared" si="66"/>
        <v>7.5397665535913538E-2</v>
      </c>
      <c r="N73" s="58">
        <f t="shared" si="66"/>
        <v>7.0438770221009528E-2</v>
      </c>
    </row>
    <row r="74" spans="2:14" x14ac:dyDescent="0.2">
      <c r="B74" s="65">
        <f>RKO!G23</f>
        <v>100000000</v>
      </c>
      <c r="C74" s="69">
        <f t="shared" ref="C74:N74" si="67">C71*$B74</f>
        <v>66161009.993875742</v>
      </c>
      <c r="D74" s="69">
        <f t="shared" si="67"/>
        <v>69458874.202434883</v>
      </c>
      <c r="E74" s="69">
        <f t="shared" si="67"/>
        <v>70634665.934504271</v>
      </c>
      <c r="F74" s="69">
        <f t="shared" si="67"/>
        <v>69206169.749267042</v>
      </c>
      <c r="G74" s="69">
        <f t="shared" si="67"/>
        <v>64680894.754867882</v>
      </c>
      <c r="H74" s="69">
        <f t="shared" si="67"/>
        <v>56590519.854279034</v>
      </c>
      <c r="I74" s="69">
        <f t="shared" si="67"/>
        <v>44555055.951055713</v>
      </c>
      <c r="J74" s="69">
        <f t="shared" si="67"/>
        <v>28373040.506728452</v>
      </c>
      <c r="K74" s="69">
        <f t="shared" si="67"/>
        <v>8123787.0679439176</v>
      </c>
      <c r="L74" s="69">
        <f t="shared" si="67"/>
        <v>-15740864.392718893</v>
      </c>
      <c r="M74" s="69">
        <f t="shared" si="67"/>
        <v>-42341600.863332398</v>
      </c>
      <c r="N74" s="69">
        <f t="shared" si="67"/>
        <v>-70376622.985699415</v>
      </c>
    </row>
    <row r="75" spans="2:14" x14ac:dyDescent="0.2">
      <c r="B75" t="s">
        <v>223</v>
      </c>
      <c r="C75" s="69">
        <f t="shared" ref="C75:N75" si="68">C72*$B74</f>
        <v>123065.8823160539</v>
      </c>
      <c r="D75" s="69">
        <f t="shared" si="68"/>
        <v>76505.852637921736</v>
      </c>
      <c r="E75" s="69">
        <f t="shared" si="68"/>
        <v>16266.141181836138</v>
      </c>
      <c r="F75" s="69">
        <f t="shared" si="68"/>
        <v>-58606.742462054899</v>
      </c>
      <c r="G75" s="69">
        <f t="shared" si="68"/>
        <v>-148539.54440255195</v>
      </c>
      <c r="H75" s="69">
        <f t="shared" si="68"/>
        <v>-252643.83994815254</v>
      </c>
      <c r="I75" s="69">
        <f t="shared" si="68"/>
        <v>-367845.03932580753</v>
      </c>
      <c r="J75" s="69">
        <f t="shared" si="68"/>
        <v>-488200.98249938386</v>
      </c>
      <c r="K75" s="69">
        <f t="shared" si="68"/>
        <v>-604702.158075099</v>
      </c>
      <c r="L75" s="69">
        <f t="shared" si="68"/>
        <v>-705774.83907661412</v>
      </c>
      <c r="M75" s="69">
        <f t="shared" si="68"/>
        <v>-778551.55190814065</v>
      </c>
      <c r="N75" s="69">
        <f t="shared" si="68"/>
        <v>-810765.70150679443</v>
      </c>
    </row>
    <row r="79" spans="2:14" x14ac:dyDescent="0.2">
      <c r="B79" t="s">
        <v>194</v>
      </c>
      <c r="C79" s="69">
        <f t="shared" ref="C79:N79" si="69">C75+C53</f>
        <v>101907.48193828663</v>
      </c>
      <c r="D79" s="69">
        <f t="shared" si="69"/>
        <v>75110.231475687455</v>
      </c>
      <c r="E79" s="69">
        <f t="shared" si="69"/>
        <v>50720.581567696412</v>
      </c>
      <c r="F79" s="69">
        <f t="shared" si="69"/>
        <v>30863.724778890653</v>
      </c>
      <c r="G79" s="69">
        <f t="shared" si="69"/>
        <v>16386.253419326618</v>
      </c>
      <c r="H79" s="69">
        <f t="shared" si="69"/>
        <v>6967.9256367716007</v>
      </c>
      <c r="I79" s="69">
        <f t="shared" si="69"/>
        <v>1689.615423986048</v>
      </c>
      <c r="J79" s="69">
        <f t="shared" si="69"/>
        <v>-92.838903744937852</v>
      </c>
      <c r="K79" s="69">
        <f t="shared" si="69"/>
        <v>2147.4073579775868</v>
      </c>
      <c r="L79" s="69">
        <f t="shared" si="69"/>
        <v>10691.132146933465</v>
      </c>
      <c r="M79" s="69">
        <f t="shared" si="69"/>
        <v>29569.614639437641</v>
      </c>
      <c r="N79" s="69">
        <f t="shared" si="69"/>
        <v>63868.987161210272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"/>
  <dimension ref="A3:N79"/>
  <sheetViews>
    <sheetView topLeftCell="A4" workbookViewId="0">
      <selection activeCell="C9" sqref="C9"/>
    </sheetView>
  </sheetViews>
  <sheetFormatPr defaultRowHeight="12.75" x14ac:dyDescent="0.2"/>
  <cols>
    <col min="2" max="2" width="13.5703125" bestFit="1" customWidth="1"/>
    <col min="3" max="10" width="9.7109375" bestFit="1" customWidth="1"/>
    <col min="11" max="14" width="10.7109375" bestFit="1" customWidth="1"/>
  </cols>
  <sheetData>
    <row r="3" spans="1:14" x14ac:dyDescent="0.2">
      <c r="C3" t="s">
        <v>95</v>
      </c>
      <c r="D3" t="s">
        <v>95</v>
      </c>
      <c r="E3" t="s">
        <v>95</v>
      </c>
      <c r="F3" t="s">
        <v>95</v>
      </c>
      <c r="G3" t="s">
        <v>95</v>
      </c>
      <c r="H3" t="s">
        <v>95</v>
      </c>
      <c r="I3" t="s">
        <v>95</v>
      </c>
      <c r="J3" t="s">
        <v>95</v>
      </c>
      <c r="K3" t="s">
        <v>95</v>
      </c>
      <c r="L3" t="s">
        <v>95</v>
      </c>
      <c r="M3" t="s">
        <v>95</v>
      </c>
      <c r="N3" t="s">
        <v>95</v>
      </c>
    </row>
    <row r="4" spans="1:14" x14ac:dyDescent="0.2">
      <c r="B4" t="s">
        <v>142</v>
      </c>
      <c r="C4" t="s">
        <v>186</v>
      </c>
      <c r="D4" t="s">
        <v>186</v>
      </c>
      <c r="E4" t="s">
        <v>186</v>
      </c>
      <c r="F4" t="s">
        <v>186</v>
      </c>
      <c r="G4" t="s">
        <v>186</v>
      </c>
      <c r="H4" t="s">
        <v>186</v>
      </c>
      <c r="I4" t="s">
        <v>186</v>
      </c>
      <c r="J4" t="s">
        <v>186</v>
      </c>
      <c r="K4" t="s">
        <v>186</v>
      </c>
      <c r="L4" t="s">
        <v>186</v>
      </c>
      <c r="M4" t="s">
        <v>186</v>
      </c>
      <c r="N4" t="s">
        <v>186</v>
      </c>
    </row>
    <row r="5" spans="1:14" x14ac:dyDescent="0.2">
      <c r="B5" t="s">
        <v>63</v>
      </c>
      <c r="C5" s="61">
        <v>41340</v>
      </c>
      <c r="D5" s="61">
        <v>41340</v>
      </c>
      <c r="E5" s="61">
        <v>41340</v>
      </c>
      <c r="F5" s="61">
        <v>41340</v>
      </c>
      <c r="G5" s="61">
        <v>41340</v>
      </c>
      <c r="H5" s="61">
        <v>41340</v>
      </c>
      <c r="I5" s="61">
        <v>41340</v>
      </c>
      <c r="J5" s="61">
        <v>41340</v>
      </c>
      <c r="K5" s="61">
        <v>41340</v>
      </c>
      <c r="L5" s="61">
        <v>41340</v>
      </c>
      <c r="M5" s="61">
        <v>41340</v>
      </c>
      <c r="N5" s="61">
        <v>41340</v>
      </c>
    </row>
    <row r="6" spans="1:14" x14ac:dyDescent="0.2">
      <c r="B6" t="s">
        <v>64</v>
      </c>
      <c r="C6" s="61">
        <v>41430</v>
      </c>
      <c r="D6" s="61">
        <f>C6</f>
        <v>41430</v>
      </c>
      <c r="E6" s="61">
        <f t="shared" ref="E6:N7" si="0">D6</f>
        <v>41430</v>
      </c>
      <c r="F6" s="61">
        <f t="shared" si="0"/>
        <v>41430</v>
      </c>
      <c r="G6" s="61">
        <f t="shared" si="0"/>
        <v>41430</v>
      </c>
      <c r="H6" s="61">
        <f t="shared" si="0"/>
        <v>41430</v>
      </c>
      <c r="I6" s="61">
        <f t="shared" si="0"/>
        <v>41430</v>
      </c>
      <c r="J6" s="61">
        <f t="shared" si="0"/>
        <v>41430</v>
      </c>
      <c r="K6" s="61">
        <f t="shared" si="0"/>
        <v>41430</v>
      </c>
      <c r="L6" s="61">
        <f t="shared" si="0"/>
        <v>41430</v>
      </c>
      <c r="M6" s="61">
        <f t="shared" si="0"/>
        <v>41430</v>
      </c>
      <c r="N6" s="61">
        <f t="shared" si="0"/>
        <v>41430</v>
      </c>
    </row>
    <row r="7" spans="1:14" ht="15" x14ac:dyDescent="0.25">
      <c r="A7" t="s">
        <v>217</v>
      </c>
      <c r="B7" t="s">
        <v>65</v>
      </c>
      <c r="C7" s="83">
        <f>RKO!H65</f>
        <v>109.86446712647293</v>
      </c>
      <c r="D7" s="83">
        <f>C7</f>
        <v>109.86446712647293</v>
      </c>
      <c r="E7" s="57">
        <f t="shared" si="0"/>
        <v>109.86446712647293</v>
      </c>
      <c r="F7" s="57">
        <f t="shared" si="0"/>
        <v>109.86446712647293</v>
      </c>
      <c r="G7" s="57">
        <f t="shared" si="0"/>
        <v>109.86446712647293</v>
      </c>
      <c r="H7" s="57">
        <f t="shared" si="0"/>
        <v>109.86446712647293</v>
      </c>
      <c r="I7" s="57">
        <f t="shared" si="0"/>
        <v>109.86446712647293</v>
      </c>
      <c r="J7" s="57">
        <f t="shared" si="0"/>
        <v>109.86446712647293</v>
      </c>
      <c r="K7" s="57">
        <f t="shared" si="0"/>
        <v>109.86446712647293</v>
      </c>
      <c r="L7" s="57">
        <f t="shared" si="0"/>
        <v>109.86446712647293</v>
      </c>
      <c r="M7" s="57">
        <f t="shared" si="0"/>
        <v>109.86446712647293</v>
      </c>
      <c r="N7" s="57">
        <f t="shared" si="0"/>
        <v>109.86446712647293</v>
      </c>
    </row>
    <row r="8" spans="1:14" x14ac:dyDescent="0.2">
      <c r="A8">
        <v>2</v>
      </c>
      <c r="B8" t="s">
        <v>66</v>
      </c>
      <c r="C8" s="57">
        <v>98</v>
      </c>
      <c r="D8" s="57">
        <f>C8+$A$8</f>
        <v>100</v>
      </c>
      <c r="E8" s="57">
        <f t="shared" ref="E8:N8" si="1">D8+$A$8</f>
        <v>102</v>
      </c>
      <c r="F8" s="57">
        <f t="shared" si="1"/>
        <v>104</v>
      </c>
      <c r="G8" s="57">
        <f t="shared" si="1"/>
        <v>106</v>
      </c>
      <c r="H8" s="57">
        <f t="shared" si="1"/>
        <v>108</v>
      </c>
      <c r="I8" s="57">
        <f t="shared" si="1"/>
        <v>110</v>
      </c>
      <c r="J8" s="57">
        <f t="shared" si="1"/>
        <v>112</v>
      </c>
      <c r="K8" s="57">
        <f t="shared" si="1"/>
        <v>114</v>
      </c>
      <c r="L8" s="57">
        <f t="shared" si="1"/>
        <v>116</v>
      </c>
      <c r="M8" s="57">
        <f t="shared" si="1"/>
        <v>118</v>
      </c>
      <c r="N8" s="57">
        <f t="shared" si="1"/>
        <v>120</v>
      </c>
    </row>
    <row r="9" spans="1:14" x14ac:dyDescent="0.2">
      <c r="B9" t="s">
        <v>67</v>
      </c>
      <c r="C9" s="57">
        <f>C8</f>
        <v>98</v>
      </c>
      <c r="D9" s="57">
        <f t="shared" ref="D9:N9" si="2">D8</f>
        <v>100</v>
      </c>
      <c r="E9" s="57">
        <f t="shared" si="2"/>
        <v>102</v>
      </c>
      <c r="F9" s="57">
        <f t="shared" si="2"/>
        <v>104</v>
      </c>
      <c r="G9" s="57">
        <f t="shared" si="2"/>
        <v>106</v>
      </c>
      <c r="H9" s="57">
        <f t="shared" si="2"/>
        <v>108</v>
      </c>
      <c r="I9" s="57">
        <f t="shared" si="2"/>
        <v>110</v>
      </c>
      <c r="J9" s="57">
        <f t="shared" si="2"/>
        <v>112</v>
      </c>
      <c r="K9" s="57">
        <f t="shared" si="2"/>
        <v>114</v>
      </c>
      <c r="L9" s="57">
        <f t="shared" si="2"/>
        <v>116</v>
      </c>
      <c r="M9" s="57">
        <f t="shared" si="2"/>
        <v>118</v>
      </c>
      <c r="N9" s="57">
        <f t="shared" si="2"/>
        <v>120</v>
      </c>
    </row>
    <row r="10" spans="1:14" x14ac:dyDescent="0.2">
      <c r="B10" t="s">
        <v>143</v>
      </c>
      <c r="C10" s="55">
        <v>0.05</v>
      </c>
      <c r="D10" s="55">
        <v>0.05</v>
      </c>
      <c r="E10" s="55">
        <v>0.05</v>
      </c>
      <c r="F10" s="55">
        <v>0.05</v>
      </c>
      <c r="G10" s="55">
        <v>0.05</v>
      </c>
      <c r="H10" s="55">
        <v>0.05</v>
      </c>
      <c r="I10" s="55">
        <v>0.05</v>
      </c>
      <c r="J10" s="55">
        <v>0.05</v>
      </c>
      <c r="K10" s="55">
        <v>0.05</v>
      </c>
      <c r="L10" s="55">
        <v>0.05</v>
      </c>
      <c r="M10" s="55">
        <v>0.05</v>
      </c>
      <c r="N10" s="55">
        <v>0.05</v>
      </c>
    </row>
    <row r="11" spans="1:14" x14ac:dyDescent="0.2">
      <c r="B11" t="s">
        <v>144</v>
      </c>
      <c r="C11" t="s">
        <v>53</v>
      </c>
      <c r="D11" t="s">
        <v>53</v>
      </c>
      <c r="E11" t="s">
        <v>53</v>
      </c>
      <c r="F11" t="s">
        <v>53</v>
      </c>
      <c r="G11" t="s">
        <v>53</v>
      </c>
      <c r="H11" t="s">
        <v>53</v>
      </c>
      <c r="I11" t="s">
        <v>53</v>
      </c>
      <c r="J11" t="s">
        <v>53</v>
      </c>
      <c r="K11" t="s">
        <v>53</v>
      </c>
      <c r="L11" t="s">
        <v>53</v>
      </c>
      <c r="M11" t="s">
        <v>53</v>
      </c>
      <c r="N11" t="s">
        <v>53</v>
      </c>
    </row>
    <row r="12" spans="1:14" x14ac:dyDescent="0.2">
      <c r="B12" t="s">
        <v>145</v>
      </c>
      <c r="C12" s="54">
        <f>RKO!L8</f>
        <v>0.1</v>
      </c>
      <c r="D12" s="54">
        <f>C12</f>
        <v>0.1</v>
      </c>
      <c r="E12" s="54">
        <f t="shared" ref="E12:N12" si="3">D12</f>
        <v>0.1</v>
      </c>
      <c r="F12" s="54">
        <f t="shared" si="3"/>
        <v>0.1</v>
      </c>
      <c r="G12" s="54">
        <f t="shared" si="3"/>
        <v>0.1</v>
      </c>
      <c r="H12" s="54">
        <f t="shared" si="3"/>
        <v>0.1</v>
      </c>
      <c r="I12" s="54">
        <f t="shared" si="3"/>
        <v>0.1</v>
      </c>
      <c r="J12" s="54">
        <f t="shared" si="3"/>
        <v>0.1</v>
      </c>
      <c r="K12" s="54">
        <f t="shared" si="3"/>
        <v>0.1</v>
      </c>
      <c r="L12" s="54">
        <f t="shared" si="3"/>
        <v>0.1</v>
      </c>
      <c r="M12" s="54">
        <f t="shared" si="3"/>
        <v>0.1</v>
      </c>
      <c r="N12" s="54">
        <f t="shared" si="3"/>
        <v>0.1</v>
      </c>
    </row>
    <row r="13" spans="1:14" x14ac:dyDescent="0.2">
      <c r="B13" t="s">
        <v>147</v>
      </c>
      <c r="C13" t="s">
        <v>159</v>
      </c>
      <c r="D13" t="s">
        <v>159</v>
      </c>
      <c r="E13" t="s">
        <v>159</v>
      </c>
      <c r="F13" t="s">
        <v>159</v>
      </c>
      <c r="G13" t="s">
        <v>159</v>
      </c>
      <c r="H13" t="s">
        <v>159</v>
      </c>
      <c r="I13" t="s">
        <v>159</v>
      </c>
      <c r="J13" t="s">
        <v>159</v>
      </c>
      <c r="K13" t="s">
        <v>159</v>
      </c>
      <c r="L13" t="s">
        <v>159</v>
      </c>
      <c r="M13" t="s">
        <v>159</v>
      </c>
      <c r="N13" t="s">
        <v>159</v>
      </c>
    </row>
    <row r="14" spans="1:14" x14ac:dyDescent="0.2">
      <c r="B14" t="s">
        <v>138</v>
      </c>
      <c r="C14" s="58">
        <f t="shared" ref="C14:N14" si="4">Vanilla(C3,C4,C5,C6,C7,C8,C9,C10,C11,C12,$B14,C13)</f>
        <v>1.107828049284135E-2</v>
      </c>
      <c r="D14" s="58">
        <f t="shared" si="4"/>
        <v>2.9812193440583754E-2</v>
      </c>
      <c r="E14" s="58">
        <f t="shared" si="4"/>
        <v>6.8293625496045229E-2</v>
      </c>
      <c r="F14" s="58">
        <f t="shared" si="4"/>
        <v>0.13497566717322815</v>
      </c>
      <c r="G14" s="58">
        <f t="shared" si="4"/>
        <v>0.2333032630060258</v>
      </c>
      <c r="H14" s="58">
        <f t="shared" si="4"/>
        <v>0.35764161996996446</v>
      </c>
      <c r="I14" s="58">
        <f t="shared" si="4"/>
        <v>0.49335405802834786</v>
      </c>
      <c r="J14" s="58">
        <f t="shared" si="4"/>
        <v>0.62181234901186355</v>
      </c>
      <c r="K14" s="58">
        <f t="shared" si="4"/>
        <v>0.72741685153368718</v>
      </c>
      <c r="L14" s="58">
        <f t="shared" si="4"/>
        <v>0.80242104977929885</v>
      </c>
      <c r="M14" s="58">
        <f t="shared" si="4"/>
        <v>0.84741415046600743</v>
      </c>
      <c r="N14" s="58">
        <f t="shared" si="4"/>
        <v>0.8684265279491411</v>
      </c>
    </row>
    <row r="15" spans="1:14" x14ac:dyDescent="0.2">
      <c r="B15" t="s">
        <v>158</v>
      </c>
      <c r="C15" s="58">
        <f t="shared" ref="C15:N15" si="5">Vanilla(C3,C4,C5,C6,C7,C8,C9,C10,C11,C12,$B15,C13)</f>
        <v>1.4661057701799109E-4</v>
      </c>
      <c r="D15" s="58">
        <f t="shared" si="5"/>
        <v>3.4078360068060941E-4</v>
      </c>
      <c r="E15" s="58">
        <f t="shared" si="5"/>
        <v>6.633941087321435E-4</v>
      </c>
      <c r="F15" s="58">
        <f t="shared" si="5"/>
        <v>1.0923884668236868E-3</v>
      </c>
      <c r="G15" s="58">
        <f t="shared" si="5"/>
        <v>1.5357833114879068E-3</v>
      </c>
      <c r="H15" s="82">
        <f t="shared" si="5"/>
        <v>1.8594809985280189E-3</v>
      </c>
      <c r="I15" s="58">
        <f t="shared" si="5"/>
        <v>1.9546706377696313E-3</v>
      </c>
      <c r="J15" s="58">
        <f t="shared" si="5"/>
        <v>1.7974482898827462E-3</v>
      </c>
      <c r="K15" s="58">
        <f t="shared" si="5"/>
        <v>1.4561609739114122E-3</v>
      </c>
      <c r="L15" s="58">
        <f t="shared" si="5"/>
        <v>1.0461806167462724E-3</v>
      </c>
      <c r="M15" s="58">
        <f t="shared" si="5"/>
        <v>6.7072182266166317E-4</v>
      </c>
      <c r="N15" s="58">
        <f t="shared" si="5"/>
        <v>3.8596209499326749E-4</v>
      </c>
    </row>
    <row r="16" spans="1:14" x14ac:dyDescent="0.2">
      <c r="B16" t="s">
        <v>137</v>
      </c>
      <c r="C16" s="58">
        <f t="shared" ref="C16:N16" si="6">Vanilla(C3,C4,C5,C6,C7,C8,C9,C10,C11,C12,$B16,C13)</f>
        <v>1.8934477229340144E-4</v>
      </c>
      <c r="D16" s="58">
        <f t="shared" si="6"/>
        <v>5.7635402584283813E-4</v>
      </c>
      <c r="E16" s="58">
        <f t="shared" si="6"/>
        <v>1.5062028469070893E-3</v>
      </c>
      <c r="F16" s="58">
        <f t="shared" si="6"/>
        <v>3.4269555414398931E-3</v>
      </c>
      <c r="G16" s="58">
        <f t="shared" si="6"/>
        <v>6.8828066640077819E-3</v>
      </c>
      <c r="H16" s="58">
        <f t="shared" si="6"/>
        <v>1.2370978066250303E-2</v>
      </c>
      <c r="I16" s="58">
        <f t="shared" si="6"/>
        <v>2.0171467681341065E-2</v>
      </c>
      <c r="J16" s="58">
        <f t="shared" si="6"/>
        <v>3.0239080175274428E-2</v>
      </c>
      <c r="K16" s="58">
        <f t="shared" si="6"/>
        <v>4.2218553351571618E-2</v>
      </c>
      <c r="L16" s="58">
        <f t="shared" si="6"/>
        <v>5.5565793806533828E-2</v>
      </c>
      <c r="M16" s="58">
        <f t="shared" si="6"/>
        <v>6.9705589573105603E-2</v>
      </c>
      <c r="N16" s="58">
        <f t="shared" si="6"/>
        <v>8.4152458720767279E-2</v>
      </c>
    </row>
    <row r="17" spans="1:14" x14ac:dyDescent="0.2">
      <c r="B17" s="65">
        <f>RKO!G33</f>
        <v>-303071579.18629223</v>
      </c>
      <c r="C17" s="69">
        <f t="shared" ref="C17:N17" si="7">C15*$B17</f>
        <v>-44433.499102256086</v>
      </c>
      <c r="D17" s="69">
        <f t="shared" si="7"/>
        <v>-103281.8240190631</v>
      </c>
      <c r="E17" s="69">
        <f t="shared" si="7"/>
        <v>-201055.90015633358</v>
      </c>
      <c r="F17" s="69">
        <f t="shared" si="7"/>
        <v>-331071.89772514737</v>
      </c>
      <c r="G17" s="69">
        <f t="shared" si="7"/>
        <v>-465452.27350059326</v>
      </c>
      <c r="H17" s="69">
        <f t="shared" si="7"/>
        <v>-563555.84269079019</v>
      </c>
      <c r="I17" s="69">
        <f t="shared" si="7"/>
        <v>-592405.11697791913</v>
      </c>
      <c r="J17" s="69">
        <f t="shared" si="7"/>
        <v>-544755.49172046431</v>
      </c>
      <c r="K17" s="69">
        <f t="shared" si="7"/>
        <v>-441321.00591278099</v>
      </c>
      <c r="L17" s="69">
        <f t="shared" si="7"/>
        <v>-317067.61163138197</v>
      </c>
      <c r="M17" s="69">
        <f t="shared" si="7"/>
        <v>-203276.7219887785</v>
      </c>
      <c r="N17" s="69">
        <f t="shared" si="7"/>
        <v>-116974.14163565931</v>
      </c>
    </row>
    <row r="19" spans="1:14" x14ac:dyDescent="0.2">
      <c r="C19" t="s">
        <v>95</v>
      </c>
      <c r="D19" t="s">
        <v>95</v>
      </c>
      <c r="E19" t="s">
        <v>95</v>
      </c>
      <c r="F19" t="s">
        <v>95</v>
      </c>
      <c r="G19" t="s">
        <v>95</v>
      </c>
      <c r="H19" t="s">
        <v>95</v>
      </c>
      <c r="I19" t="s">
        <v>95</v>
      </c>
      <c r="J19" t="s">
        <v>95</v>
      </c>
      <c r="K19" t="s">
        <v>95</v>
      </c>
      <c r="L19" t="s">
        <v>95</v>
      </c>
      <c r="M19" t="s">
        <v>95</v>
      </c>
      <c r="N19" t="s">
        <v>95</v>
      </c>
    </row>
    <row r="20" spans="1:14" x14ac:dyDescent="0.2">
      <c r="B20" t="s">
        <v>142</v>
      </c>
      <c r="C20" t="s">
        <v>189</v>
      </c>
      <c r="D20" t="s">
        <v>189</v>
      </c>
      <c r="E20" t="s">
        <v>189</v>
      </c>
      <c r="F20" t="s">
        <v>189</v>
      </c>
      <c r="G20" t="s">
        <v>189</v>
      </c>
      <c r="H20" t="s">
        <v>189</v>
      </c>
      <c r="I20" t="s">
        <v>189</v>
      </c>
      <c r="J20" t="s">
        <v>189</v>
      </c>
      <c r="K20" t="s">
        <v>189</v>
      </c>
      <c r="L20" t="s">
        <v>189</v>
      </c>
      <c r="M20" t="s">
        <v>189</v>
      </c>
      <c r="N20" t="s">
        <v>189</v>
      </c>
    </row>
    <row r="21" spans="1:14" x14ac:dyDescent="0.2">
      <c r="B21" t="s">
        <v>63</v>
      </c>
      <c r="C21" s="61">
        <v>41340</v>
      </c>
      <c r="D21" s="61">
        <v>41340</v>
      </c>
      <c r="E21" s="61">
        <v>41340</v>
      </c>
      <c r="F21" s="61">
        <v>41340</v>
      </c>
      <c r="G21" s="61">
        <v>41340</v>
      </c>
      <c r="H21" s="61">
        <v>41340</v>
      </c>
      <c r="I21" s="61">
        <v>41340</v>
      </c>
      <c r="J21" s="61">
        <v>41340</v>
      </c>
      <c r="K21" s="61">
        <v>41340</v>
      </c>
      <c r="L21" s="61">
        <v>41340</v>
      </c>
      <c r="M21" s="61">
        <v>41340</v>
      </c>
      <c r="N21" s="61">
        <v>41340</v>
      </c>
    </row>
    <row r="22" spans="1:14" x14ac:dyDescent="0.2">
      <c r="B22" t="s">
        <v>64</v>
      </c>
      <c r="C22" s="61">
        <f>C38</f>
        <v>41430</v>
      </c>
      <c r="D22" s="61">
        <f>C22</f>
        <v>41430</v>
      </c>
      <c r="E22" s="61">
        <f t="shared" ref="E22:N22" si="8">D22</f>
        <v>41430</v>
      </c>
      <c r="F22" s="61">
        <f t="shared" si="8"/>
        <v>41430</v>
      </c>
      <c r="G22" s="61">
        <f t="shared" si="8"/>
        <v>41430</v>
      </c>
      <c r="H22" s="61">
        <f t="shared" si="8"/>
        <v>41430</v>
      </c>
      <c r="I22" s="61">
        <f t="shared" si="8"/>
        <v>41430</v>
      </c>
      <c r="J22" s="61">
        <f t="shared" si="8"/>
        <v>41430</v>
      </c>
      <c r="K22" s="61">
        <f t="shared" si="8"/>
        <v>41430</v>
      </c>
      <c r="L22" s="61">
        <f t="shared" si="8"/>
        <v>41430</v>
      </c>
      <c r="M22" s="61">
        <f t="shared" si="8"/>
        <v>41430</v>
      </c>
      <c r="N22" s="61">
        <f t="shared" si="8"/>
        <v>41430</v>
      </c>
    </row>
    <row r="23" spans="1:14" ht="15" x14ac:dyDescent="0.25">
      <c r="A23" t="s">
        <v>234</v>
      </c>
      <c r="B23" t="s">
        <v>65</v>
      </c>
      <c r="C23" s="84">
        <f>RKO!C23</f>
        <v>105.99812308472085</v>
      </c>
      <c r="D23" s="84">
        <f t="shared" ref="D23:N23" si="9">$C$23</f>
        <v>105.99812308472085</v>
      </c>
      <c r="E23" s="62">
        <f t="shared" si="9"/>
        <v>105.99812308472085</v>
      </c>
      <c r="F23" s="62">
        <f t="shared" si="9"/>
        <v>105.99812308472085</v>
      </c>
      <c r="G23" s="62">
        <f t="shared" si="9"/>
        <v>105.99812308472085</v>
      </c>
      <c r="H23" s="62">
        <f t="shared" si="9"/>
        <v>105.99812308472085</v>
      </c>
      <c r="I23" s="62">
        <f t="shared" si="9"/>
        <v>105.99812308472085</v>
      </c>
      <c r="J23" s="62">
        <f t="shared" si="9"/>
        <v>105.99812308472085</v>
      </c>
      <c r="K23" s="62">
        <f t="shared" si="9"/>
        <v>105.99812308472085</v>
      </c>
      <c r="L23" s="62">
        <f t="shared" si="9"/>
        <v>105.99812308472085</v>
      </c>
      <c r="M23" s="62">
        <f t="shared" si="9"/>
        <v>105.99812308472085</v>
      </c>
      <c r="N23" s="62">
        <f t="shared" si="9"/>
        <v>105.99812308472085</v>
      </c>
    </row>
    <row r="24" spans="1:14" x14ac:dyDescent="0.2">
      <c r="B24" t="s">
        <v>66</v>
      </c>
      <c r="C24" s="62">
        <f t="shared" ref="C24:N24" si="10">C8</f>
        <v>98</v>
      </c>
      <c r="D24" s="62">
        <f t="shared" si="10"/>
        <v>100</v>
      </c>
      <c r="E24" s="62">
        <f t="shared" si="10"/>
        <v>102</v>
      </c>
      <c r="F24" s="62">
        <f t="shared" si="10"/>
        <v>104</v>
      </c>
      <c r="G24" s="62">
        <f t="shared" si="10"/>
        <v>106</v>
      </c>
      <c r="H24" s="62">
        <f t="shared" si="10"/>
        <v>108</v>
      </c>
      <c r="I24" s="62">
        <f t="shared" si="10"/>
        <v>110</v>
      </c>
      <c r="J24" s="62">
        <f t="shared" si="10"/>
        <v>112</v>
      </c>
      <c r="K24" s="62">
        <f t="shared" si="10"/>
        <v>114</v>
      </c>
      <c r="L24" s="62">
        <f t="shared" si="10"/>
        <v>116</v>
      </c>
      <c r="M24" s="62">
        <f t="shared" si="10"/>
        <v>118</v>
      </c>
      <c r="N24" s="62">
        <f t="shared" si="10"/>
        <v>120</v>
      </c>
    </row>
    <row r="25" spans="1:14" x14ac:dyDescent="0.2">
      <c r="B25" t="s">
        <v>67</v>
      </c>
      <c r="C25" s="57">
        <f>C24</f>
        <v>98</v>
      </c>
      <c r="D25" s="57">
        <f t="shared" ref="D25:N25" si="11">D24</f>
        <v>100</v>
      </c>
      <c r="E25" s="57">
        <f t="shared" si="11"/>
        <v>102</v>
      </c>
      <c r="F25" s="57">
        <f t="shared" si="11"/>
        <v>104</v>
      </c>
      <c r="G25" s="57">
        <f t="shared" si="11"/>
        <v>106</v>
      </c>
      <c r="H25" s="57">
        <f t="shared" si="11"/>
        <v>108</v>
      </c>
      <c r="I25" s="57">
        <f t="shared" si="11"/>
        <v>110</v>
      </c>
      <c r="J25" s="57">
        <f t="shared" si="11"/>
        <v>112</v>
      </c>
      <c r="K25" s="57">
        <f t="shared" si="11"/>
        <v>114</v>
      </c>
      <c r="L25" s="57">
        <f t="shared" si="11"/>
        <v>116</v>
      </c>
      <c r="M25" s="57">
        <f t="shared" si="11"/>
        <v>118</v>
      </c>
      <c r="N25" s="57">
        <f t="shared" si="11"/>
        <v>120</v>
      </c>
    </row>
    <row r="26" spans="1:14" x14ac:dyDescent="0.2">
      <c r="B26" t="s">
        <v>143</v>
      </c>
      <c r="C26" s="55">
        <v>0.05</v>
      </c>
      <c r="D26" s="55">
        <v>0.05</v>
      </c>
      <c r="E26" s="55">
        <v>0.05</v>
      </c>
      <c r="F26" s="55">
        <v>0.05</v>
      </c>
      <c r="G26" s="55">
        <v>0.05</v>
      </c>
      <c r="H26" s="55">
        <v>0.05</v>
      </c>
      <c r="I26" s="55">
        <v>0.05</v>
      </c>
      <c r="J26" s="55">
        <v>0.05</v>
      </c>
      <c r="K26" s="55">
        <v>0.05</v>
      </c>
      <c r="L26" s="55">
        <v>0.05</v>
      </c>
      <c r="M26" s="55">
        <v>0.05</v>
      </c>
      <c r="N26" s="55">
        <v>0.05</v>
      </c>
    </row>
    <row r="27" spans="1:14" x14ac:dyDescent="0.2">
      <c r="B27" t="s">
        <v>144</v>
      </c>
      <c r="C27" t="s">
        <v>53</v>
      </c>
      <c r="D27" t="s">
        <v>53</v>
      </c>
      <c r="E27" t="s">
        <v>53</v>
      </c>
      <c r="F27" t="s">
        <v>53</v>
      </c>
      <c r="G27" t="s">
        <v>53</v>
      </c>
      <c r="H27" t="s">
        <v>53</v>
      </c>
      <c r="I27" t="s">
        <v>53</v>
      </c>
      <c r="J27" t="s">
        <v>53</v>
      </c>
      <c r="K27" t="s">
        <v>53</v>
      </c>
      <c r="L27" t="s">
        <v>53</v>
      </c>
      <c r="M27" t="s">
        <v>53</v>
      </c>
      <c r="N27" t="s">
        <v>53</v>
      </c>
    </row>
    <row r="28" spans="1:14" x14ac:dyDescent="0.2">
      <c r="B28" t="s">
        <v>145</v>
      </c>
      <c r="C28" s="54">
        <f>RKO!C28</f>
        <v>0.1125</v>
      </c>
      <c r="D28" s="54">
        <f>C28</f>
        <v>0.1125</v>
      </c>
      <c r="E28" s="54">
        <f t="shared" ref="E28:N28" si="12">D28</f>
        <v>0.1125</v>
      </c>
      <c r="F28" s="54">
        <f t="shared" si="12"/>
        <v>0.1125</v>
      </c>
      <c r="G28" s="54">
        <f t="shared" si="12"/>
        <v>0.1125</v>
      </c>
      <c r="H28" s="54">
        <f t="shared" si="12"/>
        <v>0.1125</v>
      </c>
      <c r="I28" s="54">
        <f t="shared" si="12"/>
        <v>0.1125</v>
      </c>
      <c r="J28" s="54">
        <f t="shared" si="12"/>
        <v>0.1125</v>
      </c>
      <c r="K28" s="54">
        <f t="shared" si="12"/>
        <v>0.1125</v>
      </c>
      <c r="L28" s="54">
        <f t="shared" si="12"/>
        <v>0.1125</v>
      </c>
      <c r="M28" s="54">
        <f t="shared" si="12"/>
        <v>0.1125</v>
      </c>
      <c r="N28" s="54">
        <f t="shared" si="12"/>
        <v>0.1125</v>
      </c>
    </row>
    <row r="29" spans="1:14" x14ac:dyDescent="0.2">
      <c r="B29" t="s">
        <v>147</v>
      </c>
      <c r="C29" t="s">
        <v>159</v>
      </c>
      <c r="D29" t="s">
        <v>159</v>
      </c>
      <c r="E29" t="s">
        <v>159</v>
      </c>
      <c r="F29" t="s">
        <v>159</v>
      </c>
      <c r="G29" t="s">
        <v>159</v>
      </c>
      <c r="H29" t="s">
        <v>159</v>
      </c>
      <c r="I29" t="s">
        <v>159</v>
      </c>
      <c r="J29" t="s">
        <v>159</v>
      </c>
      <c r="K29" t="s">
        <v>159</v>
      </c>
      <c r="L29" t="s">
        <v>159</v>
      </c>
      <c r="M29" t="s">
        <v>159</v>
      </c>
      <c r="N29" t="s">
        <v>159</v>
      </c>
    </row>
    <row r="30" spans="1:14" x14ac:dyDescent="0.2">
      <c r="B30" t="s">
        <v>138</v>
      </c>
      <c r="C30" s="58">
        <f t="shared" ref="C30:N30" si="13">Vanilla(C19,C20,C21,C22,C23,C24,C25,C26,C27,C28,$B30,C29)</f>
        <v>-0.9873153928277042</v>
      </c>
      <c r="D30" s="58">
        <f t="shared" si="13"/>
        <v>-0.8983172469984142</v>
      </c>
      <c r="E30" s="58">
        <f t="shared" si="13"/>
        <v>-0.7833989092212098</v>
      </c>
      <c r="F30" s="58">
        <f t="shared" si="13"/>
        <v>-0.64823035667468176</v>
      </c>
      <c r="G30" s="58">
        <f t="shared" si="13"/>
        <v>-0.50483606776065548</v>
      </c>
      <c r="H30" s="58">
        <f t="shared" si="13"/>
        <v>-0.36789621495248526</v>
      </c>
      <c r="I30" s="58">
        <f t="shared" si="13"/>
        <v>-0.24995872752273743</v>
      </c>
      <c r="J30" s="58">
        <f t="shared" si="13"/>
        <v>-0.15804170676884466</v>
      </c>
      <c r="K30" s="58">
        <f t="shared" si="13"/>
        <v>-9.2945344832399621E-2</v>
      </c>
      <c r="L30" s="58">
        <f t="shared" si="13"/>
        <v>-5.0870665491349935E-2</v>
      </c>
      <c r="M30" s="58">
        <f t="shared" si="13"/>
        <v>-2.5943764878228786E-2</v>
      </c>
      <c r="N30" s="58">
        <f t="shared" si="13"/>
        <v>-1.2350320408231147E-2</v>
      </c>
    </row>
    <row r="31" spans="1:14" x14ac:dyDescent="0.2">
      <c r="B31" t="s">
        <v>158</v>
      </c>
      <c r="C31" s="58">
        <f t="shared" ref="C31:N31" si="14">Vanilla(C19,C20,C21,C22,C23,C24,C25,C26,C27,C28,$B31,C29)</f>
        <v>7.5891767781473057E-4</v>
      </c>
      <c r="D31" s="58">
        <f t="shared" si="14"/>
        <v>1.1694493163124555E-3</v>
      </c>
      <c r="E31" s="58">
        <f t="shared" si="14"/>
        <v>1.5737124935683753E-3</v>
      </c>
      <c r="F31" s="58">
        <f t="shared" si="14"/>
        <v>1.863683183517949E-3</v>
      </c>
      <c r="G31" s="58">
        <f t="shared" si="14"/>
        <v>1.956301284425917E-3</v>
      </c>
      <c r="H31" s="82">
        <f t="shared" si="14"/>
        <v>1.8323942526408995E-3</v>
      </c>
      <c r="I31" s="58">
        <f t="shared" si="14"/>
        <v>1.5410973336280349E-3</v>
      </c>
      <c r="J31" s="58">
        <f t="shared" si="14"/>
        <v>1.1705752288328176E-3</v>
      </c>
      <c r="K31" s="58">
        <f t="shared" si="14"/>
        <v>8.0740764080123044E-4</v>
      </c>
      <c r="L31" s="58">
        <f t="shared" si="14"/>
        <v>5.0830659911402969E-4</v>
      </c>
      <c r="M31" s="58">
        <f t="shared" si="14"/>
        <v>2.9347681252267223E-4</v>
      </c>
      <c r="N31" s="58">
        <f t="shared" si="14"/>
        <v>1.5609324587850779E-4</v>
      </c>
    </row>
    <row r="32" spans="1:14" x14ac:dyDescent="0.2">
      <c r="B32" t="s">
        <v>137</v>
      </c>
      <c r="C32" s="58">
        <f t="shared" ref="C32:N32" si="15">Vanilla(C19,C20,C21,C22,C23,C24,C25,C26,C27,C28,$B32,C29)</f>
        <v>8.2711853260659232E-2</v>
      </c>
      <c r="D32" s="58">
        <f t="shared" si="15"/>
        <v>6.361689691467548E-2</v>
      </c>
      <c r="E32" s="58">
        <f t="shared" si="15"/>
        <v>4.6921631186910541E-2</v>
      </c>
      <c r="F32" s="58">
        <f t="shared" si="15"/>
        <v>3.2993104828150523E-2</v>
      </c>
      <c r="G32" s="58">
        <f t="shared" si="15"/>
        <v>2.2005471300124427E-2</v>
      </c>
      <c r="H32" s="58">
        <f t="shared" si="15"/>
        <v>1.3865833999177592E-2</v>
      </c>
      <c r="I32" s="58">
        <f t="shared" si="15"/>
        <v>8.2302079758668541E-3</v>
      </c>
      <c r="J32" s="58">
        <f t="shared" si="15"/>
        <v>4.593164525076813E-3</v>
      </c>
      <c r="K32" s="58">
        <f t="shared" si="15"/>
        <v>2.4079721474859392E-3</v>
      </c>
      <c r="L32" s="58">
        <f t="shared" si="15"/>
        <v>1.1856565310115728E-3</v>
      </c>
      <c r="M32" s="58">
        <f t="shared" si="15"/>
        <v>5.4855788739909428E-4</v>
      </c>
      <c r="N32" s="58">
        <f t="shared" si="15"/>
        <v>2.3868835924120883E-4</v>
      </c>
    </row>
    <row r="33" spans="1:14" x14ac:dyDescent="0.2">
      <c r="B33" s="65">
        <f>RKO!G31</f>
        <v>8482742.4120964333</v>
      </c>
      <c r="C33" s="69">
        <f t="shared" ref="C33:N33" si="16">C31*$B33</f>
        <v>6437.7031728887514</v>
      </c>
      <c r="D33" s="69">
        <f t="shared" si="16"/>
        <v>9920.1373142808443</v>
      </c>
      <c r="E33" s="69">
        <f t="shared" si="16"/>
        <v>13349.397713638493</v>
      </c>
      <c r="F33" s="69">
        <f t="shared" si="16"/>
        <v>15809.144383538607</v>
      </c>
      <c r="G33" s="69">
        <f t="shared" si="16"/>
        <v>16594.799876238452</v>
      </c>
      <c r="H33" s="69">
        <f t="shared" si="16"/>
        <v>15543.728442558706</v>
      </c>
      <c r="I33" s="69">
        <f t="shared" si="16"/>
        <v>13072.731713135259</v>
      </c>
      <c r="J33" s="69">
        <f t="shared" si="16"/>
        <v>9929.6881401696301</v>
      </c>
      <c r="K33" s="69">
        <f t="shared" si="16"/>
        <v>6849.0310384753202</v>
      </c>
      <c r="L33" s="69">
        <f t="shared" si="16"/>
        <v>4311.8339466530788</v>
      </c>
      <c r="M33" s="69">
        <f t="shared" si="16"/>
        <v>2489.4882045529453</v>
      </c>
      <c r="N33" s="69">
        <f t="shared" si="16"/>
        <v>1324.0987970554149</v>
      </c>
    </row>
    <row r="35" spans="1:14" x14ac:dyDescent="0.2">
      <c r="C35" t="s">
        <v>95</v>
      </c>
      <c r="D35" t="s">
        <v>95</v>
      </c>
      <c r="E35" t="s">
        <v>95</v>
      </c>
      <c r="F35" t="s">
        <v>95</v>
      </c>
      <c r="G35" t="s">
        <v>95</v>
      </c>
      <c r="H35" t="s">
        <v>95</v>
      </c>
      <c r="I35" t="s">
        <v>95</v>
      </c>
      <c r="J35" t="s">
        <v>95</v>
      </c>
      <c r="K35" t="s">
        <v>95</v>
      </c>
      <c r="L35" t="s">
        <v>95</v>
      </c>
      <c r="M35" t="s">
        <v>95</v>
      </c>
      <c r="N35" t="s">
        <v>95</v>
      </c>
    </row>
    <row r="36" spans="1:14" x14ac:dyDescent="0.2">
      <c r="B36" t="s">
        <v>142</v>
      </c>
      <c r="C36" t="s">
        <v>186</v>
      </c>
      <c r="D36" t="s">
        <v>186</v>
      </c>
      <c r="E36" t="s">
        <v>186</v>
      </c>
      <c r="F36" t="s">
        <v>186</v>
      </c>
      <c r="G36" t="s">
        <v>186</v>
      </c>
      <c r="H36" t="s">
        <v>186</v>
      </c>
      <c r="I36" t="s">
        <v>186</v>
      </c>
      <c r="J36" t="s">
        <v>186</v>
      </c>
      <c r="K36" t="s">
        <v>186</v>
      </c>
      <c r="L36" t="s">
        <v>186</v>
      </c>
      <c r="M36" t="s">
        <v>186</v>
      </c>
      <c r="N36" t="s">
        <v>186</v>
      </c>
    </row>
    <row r="37" spans="1:14" x14ac:dyDescent="0.2">
      <c r="B37" t="s">
        <v>63</v>
      </c>
      <c r="C37" s="61">
        <v>41340</v>
      </c>
      <c r="D37" s="61">
        <v>41340</v>
      </c>
      <c r="E37" s="61">
        <v>41340</v>
      </c>
      <c r="F37" s="61">
        <v>41340</v>
      </c>
      <c r="G37" s="61">
        <v>41340</v>
      </c>
      <c r="H37" s="61">
        <v>41340</v>
      </c>
      <c r="I37" s="61">
        <v>41340</v>
      </c>
      <c r="J37" s="61">
        <v>41340</v>
      </c>
      <c r="K37" s="61">
        <v>41340</v>
      </c>
      <c r="L37" s="61">
        <v>41340</v>
      </c>
      <c r="M37" s="61">
        <v>41340</v>
      </c>
      <c r="N37" s="61">
        <v>41340</v>
      </c>
    </row>
    <row r="38" spans="1:14" x14ac:dyDescent="0.2">
      <c r="B38" t="s">
        <v>64</v>
      </c>
      <c r="C38" s="61">
        <v>41430</v>
      </c>
      <c r="D38" s="61">
        <f>C38</f>
        <v>41430</v>
      </c>
      <c r="E38" s="61">
        <f t="shared" ref="E38:N39" si="17">D38</f>
        <v>41430</v>
      </c>
      <c r="F38" s="61">
        <f t="shared" si="17"/>
        <v>41430</v>
      </c>
      <c r="G38" s="61">
        <f t="shared" si="17"/>
        <v>41430</v>
      </c>
      <c r="H38" s="61">
        <f t="shared" si="17"/>
        <v>41430</v>
      </c>
      <c r="I38" s="61">
        <f t="shared" si="17"/>
        <v>41430</v>
      </c>
      <c r="J38" s="61">
        <f t="shared" si="17"/>
        <v>41430</v>
      </c>
      <c r="K38" s="61">
        <f t="shared" si="17"/>
        <v>41430</v>
      </c>
      <c r="L38" s="61">
        <f t="shared" si="17"/>
        <v>41430</v>
      </c>
      <c r="M38" s="61">
        <f t="shared" si="17"/>
        <v>41430</v>
      </c>
      <c r="N38" s="61">
        <f t="shared" si="17"/>
        <v>41430</v>
      </c>
    </row>
    <row r="39" spans="1:14" ht="15" x14ac:dyDescent="0.25">
      <c r="A39" t="s">
        <v>235</v>
      </c>
      <c r="B39" t="s">
        <v>65</v>
      </c>
      <c r="C39" s="83">
        <f>RKO!C6</f>
        <v>113.98252701652383</v>
      </c>
      <c r="D39" s="84">
        <f>C39</f>
        <v>113.98252701652383</v>
      </c>
      <c r="E39" s="57">
        <f>D39</f>
        <v>113.98252701652383</v>
      </c>
      <c r="F39" s="57">
        <f t="shared" si="17"/>
        <v>113.98252701652383</v>
      </c>
      <c r="G39" s="57">
        <f t="shared" si="17"/>
        <v>113.98252701652383</v>
      </c>
      <c r="H39" s="57">
        <f t="shared" si="17"/>
        <v>113.98252701652383</v>
      </c>
      <c r="I39" s="57">
        <f t="shared" si="17"/>
        <v>113.98252701652383</v>
      </c>
      <c r="J39" s="57">
        <f t="shared" si="17"/>
        <v>113.98252701652383</v>
      </c>
      <c r="K39" s="57">
        <f t="shared" si="17"/>
        <v>113.98252701652383</v>
      </c>
      <c r="L39" s="57">
        <f t="shared" si="17"/>
        <v>113.98252701652383</v>
      </c>
      <c r="M39" s="57">
        <f t="shared" si="17"/>
        <v>113.98252701652383</v>
      </c>
      <c r="N39" s="57">
        <f t="shared" si="17"/>
        <v>113.98252701652383</v>
      </c>
    </row>
    <row r="40" spans="1:14" x14ac:dyDescent="0.2">
      <c r="B40" t="s">
        <v>66</v>
      </c>
      <c r="C40" s="57">
        <f t="shared" ref="C40:N40" si="18">C8</f>
        <v>98</v>
      </c>
      <c r="D40" s="57">
        <f t="shared" si="18"/>
        <v>100</v>
      </c>
      <c r="E40" s="57">
        <f t="shared" si="18"/>
        <v>102</v>
      </c>
      <c r="F40" s="57">
        <f t="shared" si="18"/>
        <v>104</v>
      </c>
      <c r="G40" s="57">
        <f t="shared" si="18"/>
        <v>106</v>
      </c>
      <c r="H40" s="57">
        <f t="shared" si="18"/>
        <v>108</v>
      </c>
      <c r="I40" s="57">
        <f t="shared" si="18"/>
        <v>110</v>
      </c>
      <c r="J40" s="57">
        <f t="shared" si="18"/>
        <v>112</v>
      </c>
      <c r="K40" s="57">
        <f t="shared" si="18"/>
        <v>114</v>
      </c>
      <c r="L40" s="57">
        <f t="shared" si="18"/>
        <v>116</v>
      </c>
      <c r="M40" s="57">
        <f t="shared" si="18"/>
        <v>118</v>
      </c>
      <c r="N40" s="57">
        <f t="shared" si="18"/>
        <v>120</v>
      </c>
    </row>
    <row r="41" spans="1:14" x14ac:dyDescent="0.2">
      <c r="B41" t="s">
        <v>67</v>
      </c>
      <c r="C41" s="57">
        <f>C40</f>
        <v>98</v>
      </c>
      <c r="D41" s="57">
        <f t="shared" ref="D41:N41" si="19">D40</f>
        <v>100</v>
      </c>
      <c r="E41" s="57">
        <f t="shared" si="19"/>
        <v>102</v>
      </c>
      <c r="F41" s="57">
        <f t="shared" si="19"/>
        <v>104</v>
      </c>
      <c r="G41" s="57">
        <f t="shared" si="19"/>
        <v>106</v>
      </c>
      <c r="H41" s="57">
        <f t="shared" si="19"/>
        <v>108</v>
      </c>
      <c r="I41" s="57">
        <f t="shared" si="19"/>
        <v>110</v>
      </c>
      <c r="J41" s="57">
        <f t="shared" si="19"/>
        <v>112</v>
      </c>
      <c r="K41" s="57">
        <f t="shared" si="19"/>
        <v>114</v>
      </c>
      <c r="L41" s="57">
        <f t="shared" si="19"/>
        <v>116</v>
      </c>
      <c r="M41" s="57">
        <f t="shared" si="19"/>
        <v>118</v>
      </c>
      <c r="N41" s="57">
        <f t="shared" si="19"/>
        <v>120</v>
      </c>
    </row>
    <row r="42" spans="1:14" x14ac:dyDescent="0.2">
      <c r="B42" t="s">
        <v>143</v>
      </c>
      <c r="C42" s="55">
        <v>0.05</v>
      </c>
      <c r="D42" s="55">
        <v>0.05</v>
      </c>
      <c r="E42" s="55">
        <v>0.05</v>
      </c>
      <c r="F42" s="55">
        <v>0.05</v>
      </c>
      <c r="G42" s="55">
        <v>0.05</v>
      </c>
      <c r="H42" s="55">
        <v>0.05</v>
      </c>
      <c r="I42" s="55">
        <v>0.05</v>
      </c>
      <c r="J42" s="55">
        <v>0.05</v>
      </c>
      <c r="K42" s="55">
        <v>0.05</v>
      </c>
      <c r="L42" s="55">
        <v>0.05</v>
      </c>
      <c r="M42" s="55">
        <v>0.05</v>
      </c>
      <c r="N42" s="55">
        <v>0.05</v>
      </c>
    </row>
    <row r="43" spans="1:14" x14ac:dyDescent="0.2">
      <c r="B43" t="s">
        <v>144</v>
      </c>
      <c r="C43" t="s">
        <v>53</v>
      </c>
      <c r="D43" t="s">
        <v>53</v>
      </c>
      <c r="E43" t="s">
        <v>53</v>
      </c>
      <c r="F43" t="s">
        <v>53</v>
      </c>
      <c r="G43" t="s">
        <v>53</v>
      </c>
      <c r="H43" t="s">
        <v>53</v>
      </c>
      <c r="I43" t="s">
        <v>53</v>
      </c>
      <c r="J43" t="s">
        <v>53</v>
      </c>
      <c r="K43" t="s">
        <v>53</v>
      </c>
      <c r="L43" t="s">
        <v>53</v>
      </c>
      <c r="M43" t="s">
        <v>53</v>
      </c>
      <c r="N43" t="s">
        <v>53</v>
      </c>
    </row>
    <row r="44" spans="1:14" x14ac:dyDescent="0.2">
      <c r="B44" t="s">
        <v>145</v>
      </c>
      <c r="C44" s="54">
        <f>RKO!C11</f>
        <v>0.1075</v>
      </c>
      <c r="D44" s="54">
        <f>C44</f>
        <v>0.1075</v>
      </c>
      <c r="E44" s="54">
        <f t="shared" ref="E44:N44" si="20">D44</f>
        <v>0.1075</v>
      </c>
      <c r="F44" s="54">
        <f t="shared" si="20"/>
        <v>0.1075</v>
      </c>
      <c r="G44" s="54">
        <f t="shared" si="20"/>
        <v>0.1075</v>
      </c>
      <c r="H44" s="54">
        <f t="shared" si="20"/>
        <v>0.1075</v>
      </c>
      <c r="I44" s="54">
        <f t="shared" si="20"/>
        <v>0.1075</v>
      </c>
      <c r="J44" s="54">
        <f t="shared" si="20"/>
        <v>0.1075</v>
      </c>
      <c r="K44" s="54">
        <f t="shared" si="20"/>
        <v>0.1075</v>
      </c>
      <c r="L44" s="54">
        <f t="shared" si="20"/>
        <v>0.1075</v>
      </c>
      <c r="M44" s="54">
        <f t="shared" si="20"/>
        <v>0.1075</v>
      </c>
      <c r="N44" s="54">
        <f t="shared" si="20"/>
        <v>0.1075</v>
      </c>
    </row>
    <row r="45" spans="1:14" x14ac:dyDescent="0.2">
      <c r="B45" t="s">
        <v>147</v>
      </c>
      <c r="C45" t="s">
        <v>159</v>
      </c>
      <c r="D45" t="s">
        <v>159</v>
      </c>
      <c r="E45" t="s">
        <v>159</v>
      </c>
      <c r="F45" t="s">
        <v>159</v>
      </c>
      <c r="G45" t="s">
        <v>159</v>
      </c>
      <c r="H45" t="s">
        <v>159</v>
      </c>
      <c r="I45" t="s">
        <v>159</v>
      </c>
      <c r="J45" t="s">
        <v>159</v>
      </c>
      <c r="K45" t="s">
        <v>159</v>
      </c>
      <c r="L45" t="s">
        <v>159</v>
      </c>
      <c r="M45" t="s">
        <v>159</v>
      </c>
      <c r="N45" t="s">
        <v>159</v>
      </c>
    </row>
    <row r="46" spans="1:14" x14ac:dyDescent="0.2">
      <c r="B46" t="s">
        <v>138</v>
      </c>
      <c r="C46" s="58">
        <f t="shared" ref="C46:N46" si="21">Vanilla(C35,C36,C37,C38,C39,C40,C41,C42,C43,C44,$B46,C45)</f>
        <v>2.4579605557555296E-3</v>
      </c>
      <c r="D46" s="58">
        <f t="shared" si="21"/>
        <v>7.4300032895460661E-3</v>
      </c>
      <c r="E46" s="58">
        <f t="shared" si="21"/>
        <v>1.9362837330663657E-2</v>
      </c>
      <c r="F46" s="58">
        <f t="shared" si="21"/>
        <v>4.3967126937472012E-2</v>
      </c>
      <c r="G46" s="58">
        <f t="shared" si="21"/>
        <v>8.7900774098118903E-2</v>
      </c>
      <c r="H46" s="58">
        <f t="shared" si="21"/>
        <v>0.15633715436220805</v>
      </c>
      <c r="I46" s="58">
        <f t="shared" si="21"/>
        <v>0.2499587102938452</v>
      </c>
      <c r="J46" s="58">
        <f t="shared" si="21"/>
        <v>0.36310279611860752</v>
      </c>
      <c r="K46" s="58">
        <f t="shared" si="21"/>
        <v>0.48450167199977512</v>
      </c>
      <c r="L46" s="58">
        <f t="shared" si="21"/>
        <v>0.60056905925473858</v>
      </c>
      <c r="M46" s="58">
        <f t="shared" si="21"/>
        <v>0.69959291994920536</v>
      </c>
      <c r="N46" s="58">
        <f t="shared" si="21"/>
        <v>0.77476944669616654</v>
      </c>
    </row>
    <row r="47" spans="1:14" x14ac:dyDescent="0.2">
      <c r="B47" t="s">
        <v>158</v>
      </c>
      <c r="C47" s="58">
        <f t="shared" ref="C47:N47" si="22">Vanilla(C35,C36,C37,C38,C39,C40,C41,C42,C43,C44,$B47,C45)</f>
        <v>3.845074738199959E-5</v>
      </c>
      <c r="D47" s="58">
        <f t="shared" si="22"/>
        <v>1.0341929279036196E-4</v>
      </c>
      <c r="E47" s="58">
        <f t="shared" si="22"/>
        <v>2.3736567663259922E-4</v>
      </c>
      <c r="F47" s="58">
        <f t="shared" si="22"/>
        <v>4.6901859503518484E-4</v>
      </c>
      <c r="G47" s="58">
        <f t="shared" si="22"/>
        <v>8.0443534415235325E-4</v>
      </c>
      <c r="H47" s="82">
        <f t="shared" si="22"/>
        <v>1.2068502197284344E-3</v>
      </c>
      <c r="I47" s="58">
        <f t="shared" si="22"/>
        <v>1.5950999827647134E-3</v>
      </c>
      <c r="J47" s="58">
        <f t="shared" si="22"/>
        <v>1.8698329644219666E-3</v>
      </c>
      <c r="K47" s="58">
        <f t="shared" si="22"/>
        <v>1.9562270309173876E-3</v>
      </c>
      <c r="L47" s="58">
        <f t="shared" si="22"/>
        <v>1.8373259869701305E-3</v>
      </c>
      <c r="M47" s="58">
        <f t="shared" si="22"/>
        <v>1.5577357461039395E-3</v>
      </c>
      <c r="N47" s="58">
        <f t="shared" si="22"/>
        <v>1.1983543338310318E-3</v>
      </c>
    </row>
    <row r="48" spans="1:14" x14ac:dyDescent="0.2">
      <c r="B48" t="s">
        <v>137</v>
      </c>
      <c r="C48" s="58">
        <f t="shared" ref="C48:N48" si="23">Vanilla(C35,C36,C37,C38,C39,C40,C41,C42,C43,C44,$B48,C45)</f>
        <v>3.9070813403466459E-5</v>
      </c>
      <c r="D48" s="58">
        <f t="shared" si="23"/>
        <v>1.3085792263399314E-4</v>
      </c>
      <c r="E48" s="58">
        <f t="shared" si="23"/>
        <v>3.8010543622611658E-4</v>
      </c>
      <c r="F48" s="58">
        <f t="shared" si="23"/>
        <v>9.6833262908908326E-4</v>
      </c>
      <c r="G48" s="58">
        <f t="shared" si="23"/>
        <v>2.1872471064618921E-3</v>
      </c>
      <c r="H48" s="58">
        <f t="shared" si="23"/>
        <v>4.4275234312883298E-3</v>
      </c>
      <c r="I48" s="58">
        <f t="shared" si="23"/>
        <v>8.1164881681640606E-3</v>
      </c>
      <c r="J48" s="58">
        <f t="shared" si="23"/>
        <v>1.3614582606731871E-2</v>
      </c>
      <c r="K48" s="58">
        <f t="shared" si="23"/>
        <v>2.1110417353089508E-2</v>
      </c>
      <c r="L48" s="58">
        <f t="shared" si="23"/>
        <v>3.0560256014424775E-2</v>
      </c>
      <c r="M48" s="58">
        <f t="shared" si="23"/>
        <v>4.170125263495103E-2</v>
      </c>
      <c r="N48" s="58">
        <f t="shared" si="23"/>
        <v>5.4124918078031138E-2</v>
      </c>
    </row>
    <row r="49" spans="2:14" x14ac:dyDescent="0.2">
      <c r="B49" s="65">
        <f>RKO!G32</f>
        <v>669199762.01759923</v>
      </c>
      <c r="C49" s="69">
        <f t="shared" ref="C49:N49" si="24">C47*$B49</f>
        <v>25731.230997432951</v>
      </c>
      <c r="D49" s="69">
        <f t="shared" si="24"/>
        <v>69208.16612333864</v>
      </c>
      <c r="E49" s="69">
        <f t="shared" si="24"/>
        <v>158845.05431368182</v>
      </c>
      <c r="F49" s="69">
        <f t="shared" si="24"/>
        <v>313867.13217937446</v>
      </c>
      <c r="G49" s="69">
        <f t="shared" si="24"/>
        <v>538327.94086530036</v>
      </c>
      <c r="H49" s="69">
        <f t="shared" si="24"/>
        <v>807623.87983315566</v>
      </c>
      <c r="I49" s="69">
        <f t="shared" si="24"/>
        <v>1067440.5288604228</v>
      </c>
      <c r="J49" s="69">
        <f t="shared" si="24"/>
        <v>1251291.7748038422</v>
      </c>
      <c r="K49" s="69">
        <f t="shared" si="24"/>
        <v>1309106.6635423105</v>
      </c>
      <c r="L49" s="69">
        <f t="shared" si="24"/>
        <v>1229538.1132291621</v>
      </c>
      <c r="M49" s="69">
        <f t="shared" si="24"/>
        <v>1042436.3905790637</v>
      </c>
      <c r="N49" s="69">
        <f t="shared" si="24"/>
        <v>801938.43501248513</v>
      </c>
    </row>
    <row r="52" spans="2:14" x14ac:dyDescent="0.2">
      <c r="B52" t="s">
        <v>191</v>
      </c>
      <c r="C52" s="57">
        <f t="shared" ref="C52:N52" si="25">C40</f>
        <v>98</v>
      </c>
      <c r="D52" s="57">
        <f t="shared" si="25"/>
        <v>100</v>
      </c>
      <c r="E52" s="57">
        <f t="shared" si="25"/>
        <v>102</v>
      </c>
      <c r="F52" s="57">
        <f t="shared" si="25"/>
        <v>104</v>
      </c>
      <c r="G52" s="57">
        <f t="shared" si="25"/>
        <v>106</v>
      </c>
      <c r="H52" s="57">
        <f t="shared" si="25"/>
        <v>108</v>
      </c>
      <c r="I52" s="57">
        <f t="shared" si="25"/>
        <v>110</v>
      </c>
      <c r="J52" s="57">
        <f t="shared" si="25"/>
        <v>112</v>
      </c>
      <c r="K52" s="57">
        <f t="shared" si="25"/>
        <v>114</v>
      </c>
      <c r="L52" s="57">
        <f t="shared" si="25"/>
        <v>116</v>
      </c>
      <c r="M52" s="57">
        <f t="shared" si="25"/>
        <v>118</v>
      </c>
      <c r="N52" s="57">
        <f t="shared" si="25"/>
        <v>120</v>
      </c>
    </row>
    <row r="53" spans="2:14" x14ac:dyDescent="0.2">
      <c r="B53" t="s">
        <v>228</v>
      </c>
      <c r="C53" s="65">
        <f>C49+C33+C17</f>
        <v>-12264.564931934383</v>
      </c>
      <c r="D53" s="65">
        <f t="shared" ref="D53:N53" si="26">D49+D33+D17</f>
        <v>-24153.520581443619</v>
      </c>
      <c r="E53" s="65">
        <f t="shared" si="26"/>
        <v>-28861.448129013268</v>
      </c>
      <c r="F53" s="65">
        <f t="shared" si="26"/>
        <v>-1395.6211622342817</v>
      </c>
      <c r="G53" s="65">
        <f t="shared" si="26"/>
        <v>89470.467240945552</v>
      </c>
      <c r="H53" s="65">
        <f t="shared" si="26"/>
        <v>259611.76558492414</v>
      </c>
      <c r="I53" s="65">
        <f t="shared" si="26"/>
        <v>488108.14359563892</v>
      </c>
      <c r="J53" s="65">
        <f t="shared" si="26"/>
        <v>716465.97122354759</v>
      </c>
      <c r="K53" s="65">
        <f t="shared" si="26"/>
        <v>874634.6886680047</v>
      </c>
      <c r="L53" s="65">
        <f t="shared" si="26"/>
        <v>916782.33554443321</v>
      </c>
      <c r="M53" s="65">
        <f t="shared" si="26"/>
        <v>841649.15679483814</v>
      </c>
      <c r="N53" s="65">
        <f t="shared" si="26"/>
        <v>686288.39217388129</v>
      </c>
    </row>
    <row r="54" spans="2:14" x14ac:dyDescent="0.2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</row>
    <row r="56" spans="2:14" x14ac:dyDescent="0.2">
      <c r="C56" t="s">
        <v>188</v>
      </c>
      <c r="D56" t="s">
        <v>188</v>
      </c>
      <c r="E56" t="s">
        <v>188</v>
      </c>
      <c r="F56" t="s">
        <v>188</v>
      </c>
      <c r="G56" t="s">
        <v>188</v>
      </c>
      <c r="H56" t="s">
        <v>188</v>
      </c>
      <c r="I56" t="s">
        <v>188</v>
      </c>
      <c r="J56" t="s">
        <v>188</v>
      </c>
      <c r="K56" t="s">
        <v>188</v>
      </c>
      <c r="L56" t="s">
        <v>188</v>
      </c>
      <c r="M56" t="s">
        <v>188</v>
      </c>
      <c r="N56" t="s">
        <v>188</v>
      </c>
    </row>
    <row r="57" spans="2:14" x14ac:dyDescent="0.2">
      <c r="C57">
        <v>80</v>
      </c>
      <c r="D57">
        <v>80</v>
      </c>
      <c r="E57">
        <v>80</v>
      </c>
      <c r="F57">
        <v>80</v>
      </c>
      <c r="G57">
        <v>80</v>
      </c>
      <c r="H57">
        <v>80</v>
      </c>
      <c r="I57">
        <v>80</v>
      </c>
      <c r="J57">
        <v>80</v>
      </c>
      <c r="K57">
        <v>80</v>
      </c>
      <c r="L57">
        <v>80</v>
      </c>
      <c r="M57">
        <v>80</v>
      </c>
      <c r="N57">
        <v>80</v>
      </c>
    </row>
    <row r="58" spans="2:14" x14ac:dyDescent="0.2">
      <c r="C58" t="s">
        <v>95</v>
      </c>
      <c r="D58" t="s">
        <v>95</v>
      </c>
      <c r="E58" t="s">
        <v>95</v>
      </c>
      <c r="F58" t="s">
        <v>95</v>
      </c>
      <c r="G58" t="s">
        <v>95</v>
      </c>
      <c r="H58" t="s">
        <v>95</v>
      </c>
      <c r="I58" t="s">
        <v>95</v>
      </c>
      <c r="J58" t="s">
        <v>95</v>
      </c>
      <c r="K58" t="s">
        <v>95</v>
      </c>
      <c r="L58" t="s">
        <v>95</v>
      </c>
      <c r="M58" t="s">
        <v>95</v>
      </c>
      <c r="N58" t="s">
        <v>95</v>
      </c>
    </row>
    <row r="59" spans="2:14" x14ac:dyDescent="0.2">
      <c r="B59" t="s">
        <v>142</v>
      </c>
      <c r="C59" t="s">
        <v>186</v>
      </c>
      <c r="D59" t="s">
        <v>186</v>
      </c>
      <c r="E59" t="s">
        <v>186</v>
      </c>
      <c r="F59" t="s">
        <v>186</v>
      </c>
      <c r="G59" t="s">
        <v>186</v>
      </c>
      <c r="H59" t="s">
        <v>186</v>
      </c>
      <c r="I59" t="s">
        <v>186</v>
      </c>
      <c r="J59" t="s">
        <v>186</v>
      </c>
      <c r="K59" t="s">
        <v>186</v>
      </c>
      <c r="L59" t="s">
        <v>186</v>
      </c>
      <c r="M59" t="s">
        <v>186</v>
      </c>
      <c r="N59" t="s">
        <v>186</v>
      </c>
    </row>
    <row r="60" spans="2:14" x14ac:dyDescent="0.2">
      <c r="B60" t="s">
        <v>63</v>
      </c>
      <c r="C60" s="61">
        <v>41340</v>
      </c>
      <c r="D60" s="61">
        <v>41340</v>
      </c>
      <c r="E60" s="61">
        <v>41340</v>
      </c>
      <c r="F60" s="61">
        <v>41340</v>
      </c>
      <c r="G60" s="61">
        <v>41340</v>
      </c>
      <c r="H60" s="61">
        <v>41340</v>
      </c>
      <c r="I60" s="61">
        <v>41340</v>
      </c>
      <c r="J60" s="61">
        <v>41340</v>
      </c>
      <c r="K60" s="61">
        <v>41340</v>
      </c>
      <c r="L60" s="61">
        <v>41340</v>
      </c>
      <c r="M60" s="61">
        <v>41340</v>
      </c>
      <c r="N60" s="61">
        <v>41340</v>
      </c>
    </row>
    <row r="61" spans="2:14" x14ac:dyDescent="0.2">
      <c r="B61" t="s">
        <v>64</v>
      </c>
      <c r="C61" s="61">
        <f t="shared" ref="C61:N61" si="27">C22</f>
        <v>41430</v>
      </c>
      <c r="D61" s="61">
        <f t="shared" si="27"/>
        <v>41430</v>
      </c>
      <c r="E61" s="61">
        <f t="shared" si="27"/>
        <v>41430</v>
      </c>
      <c r="F61" s="61">
        <f t="shared" si="27"/>
        <v>41430</v>
      </c>
      <c r="G61" s="61">
        <f t="shared" si="27"/>
        <v>41430</v>
      </c>
      <c r="H61" s="61">
        <f t="shared" si="27"/>
        <v>41430</v>
      </c>
      <c r="I61" s="61">
        <f t="shared" si="27"/>
        <v>41430</v>
      </c>
      <c r="J61" s="61">
        <f t="shared" si="27"/>
        <v>41430</v>
      </c>
      <c r="K61" s="61">
        <f t="shared" si="27"/>
        <v>41430</v>
      </c>
      <c r="L61" s="61">
        <f t="shared" si="27"/>
        <v>41430</v>
      </c>
      <c r="M61" s="61">
        <f t="shared" si="27"/>
        <v>41430</v>
      </c>
      <c r="N61" s="61">
        <f t="shared" si="27"/>
        <v>41430</v>
      </c>
    </row>
    <row r="62" spans="2:14" x14ac:dyDescent="0.2">
      <c r="B62" t="s">
        <v>65</v>
      </c>
      <c r="C62" s="57">
        <v>100</v>
      </c>
      <c r="D62" s="57">
        <v>100</v>
      </c>
      <c r="E62" s="57">
        <v>100</v>
      </c>
      <c r="F62" s="57">
        <v>100</v>
      </c>
      <c r="G62" s="57">
        <v>100</v>
      </c>
      <c r="H62" s="57">
        <v>100</v>
      </c>
      <c r="I62" s="57">
        <v>100</v>
      </c>
      <c r="J62" s="57">
        <v>100</v>
      </c>
      <c r="K62" s="57">
        <v>100</v>
      </c>
      <c r="L62" s="57">
        <v>100</v>
      </c>
      <c r="M62" s="57">
        <v>100</v>
      </c>
      <c r="N62" s="57">
        <v>100</v>
      </c>
    </row>
    <row r="63" spans="2:14" x14ac:dyDescent="0.2">
      <c r="B63" t="s">
        <v>187</v>
      </c>
      <c r="C63" s="57">
        <v>120</v>
      </c>
      <c r="D63" s="57">
        <v>120</v>
      </c>
      <c r="E63" s="57">
        <v>120</v>
      </c>
      <c r="F63" s="57">
        <v>120</v>
      </c>
      <c r="G63" s="57">
        <v>120</v>
      </c>
      <c r="H63" s="57">
        <v>120</v>
      </c>
      <c r="I63" s="57">
        <v>120</v>
      </c>
      <c r="J63" s="57">
        <v>120</v>
      </c>
      <c r="K63" s="57">
        <v>120</v>
      </c>
      <c r="L63" s="57">
        <v>120</v>
      </c>
      <c r="M63" s="57">
        <v>120</v>
      </c>
      <c r="N63" s="57">
        <v>120</v>
      </c>
    </row>
    <row r="64" spans="2:14" x14ac:dyDescent="0.2">
      <c r="B64" t="s">
        <v>66</v>
      </c>
      <c r="C64" s="57">
        <f t="shared" ref="C64:N64" si="28">C40</f>
        <v>98</v>
      </c>
      <c r="D64" s="57">
        <f t="shared" si="28"/>
        <v>100</v>
      </c>
      <c r="E64" s="57">
        <f t="shared" si="28"/>
        <v>102</v>
      </c>
      <c r="F64" s="57">
        <f t="shared" si="28"/>
        <v>104</v>
      </c>
      <c r="G64" s="57">
        <f t="shared" si="28"/>
        <v>106</v>
      </c>
      <c r="H64" s="57">
        <f t="shared" si="28"/>
        <v>108</v>
      </c>
      <c r="I64" s="57">
        <f t="shared" si="28"/>
        <v>110</v>
      </c>
      <c r="J64" s="57">
        <f t="shared" si="28"/>
        <v>112</v>
      </c>
      <c r="K64" s="57">
        <f t="shared" si="28"/>
        <v>114</v>
      </c>
      <c r="L64" s="57">
        <f t="shared" si="28"/>
        <v>116</v>
      </c>
      <c r="M64" s="57">
        <f t="shared" si="28"/>
        <v>118</v>
      </c>
      <c r="N64" s="57">
        <f t="shared" si="28"/>
        <v>120</v>
      </c>
    </row>
    <row r="65" spans="2:14" x14ac:dyDescent="0.2">
      <c r="B65" t="s">
        <v>67</v>
      </c>
      <c r="C65" s="57">
        <f>C64</f>
        <v>98</v>
      </c>
      <c r="D65" s="57">
        <f t="shared" ref="D65:N65" si="29">D64</f>
        <v>100</v>
      </c>
      <c r="E65" s="57">
        <f t="shared" si="29"/>
        <v>102</v>
      </c>
      <c r="F65" s="57">
        <f t="shared" si="29"/>
        <v>104</v>
      </c>
      <c r="G65" s="57">
        <f t="shared" si="29"/>
        <v>106</v>
      </c>
      <c r="H65" s="57">
        <f t="shared" si="29"/>
        <v>108</v>
      </c>
      <c r="I65" s="57">
        <f t="shared" si="29"/>
        <v>110</v>
      </c>
      <c r="J65" s="57">
        <f t="shared" si="29"/>
        <v>112</v>
      </c>
      <c r="K65" s="57">
        <f t="shared" si="29"/>
        <v>114</v>
      </c>
      <c r="L65" s="57">
        <f t="shared" si="29"/>
        <v>116</v>
      </c>
      <c r="M65" s="57">
        <f t="shared" si="29"/>
        <v>118</v>
      </c>
      <c r="N65" s="57">
        <f t="shared" si="29"/>
        <v>120</v>
      </c>
    </row>
    <row r="66" spans="2:14" x14ac:dyDescent="0.2">
      <c r="B66" t="s">
        <v>143</v>
      </c>
      <c r="C66" s="55">
        <v>0.05</v>
      </c>
      <c r="D66" s="55">
        <v>0.05</v>
      </c>
      <c r="E66" s="55">
        <v>0.05</v>
      </c>
      <c r="F66" s="55">
        <v>0.05</v>
      </c>
      <c r="G66" s="55">
        <v>0.05</v>
      </c>
      <c r="H66" s="55">
        <v>0.05</v>
      </c>
      <c r="I66" s="55">
        <v>0.05</v>
      </c>
      <c r="J66" s="55">
        <v>0.05</v>
      </c>
      <c r="K66" s="55">
        <v>0.05</v>
      </c>
      <c r="L66" s="55">
        <v>0.05</v>
      </c>
      <c r="M66" s="55">
        <v>0.05</v>
      </c>
      <c r="N66" s="55">
        <v>0.05</v>
      </c>
    </row>
    <row r="67" spans="2:14" x14ac:dyDescent="0.2">
      <c r="B67" t="s">
        <v>144</v>
      </c>
      <c r="C67" t="s">
        <v>53</v>
      </c>
      <c r="D67" t="s">
        <v>53</v>
      </c>
      <c r="E67" t="s">
        <v>53</v>
      </c>
      <c r="F67" t="s">
        <v>53</v>
      </c>
      <c r="G67" t="s">
        <v>53</v>
      </c>
      <c r="H67" t="s">
        <v>53</v>
      </c>
      <c r="I67" t="s">
        <v>53</v>
      </c>
      <c r="J67" t="s">
        <v>53</v>
      </c>
      <c r="K67" t="s">
        <v>53</v>
      </c>
      <c r="L67" t="s">
        <v>53</v>
      </c>
      <c r="M67" t="s">
        <v>53</v>
      </c>
      <c r="N67" t="s">
        <v>53</v>
      </c>
    </row>
    <row r="68" spans="2:14" x14ac:dyDescent="0.2">
      <c r="B68" t="s">
        <v>145</v>
      </c>
      <c r="C68" s="54">
        <f>RKO!L8</f>
        <v>0.1</v>
      </c>
      <c r="D68" s="54">
        <f>C68</f>
        <v>0.1</v>
      </c>
      <c r="E68" s="54">
        <f t="shared" ref="E68:N68" si="30">D68</f>
        <v>0.1</v>
      </c>
      <c r="F68" s="54">
        <f t="shared" si="30"/>
        <v>0.1</v>
      </c>
      <c r="G68" s="54">
        <f t="shared" si="30"/>
        <v>0.1</v>
      </c>
      <c r="H68" s="54">
        <f t="shared" si="30"/>
        <v>0.1</v>
      </c>
      <c r="I68" s="54">
        <f t="shared" si="30"/>
        <v>0.1</v>
      </c>
      <c r="J68" s="54">
        <f t="shared" si="30"/>
        <v>0.1</v>
      </c>
      <c r="K68" s="54">
        <f t="shared" si="30"/>
        <v>0.1</v>
      </c>
      <c r="L68" s="54">
        <f t="shared" si="30"/>
        <v>0.1</v>
      </c>
      <c r="M68" s="54">
        <f t="shared" si="30"/>
        <v>0.1</v>
      </c>
      <c r="N68" s="54">
        <f t="shared" si="30"/>
        <v>0.1</v>
      </c>
    </row>
    <row r="69" spans="2:14" x14ac:dyDescent="0.2">
      <c r="B69" t="s">
        <v>146</v>
      </c>
      <c r="C69" t="s">
        <v>138</v>
      </c>
      <c r="D69" t="s">
        <v>138</v>
      </c>
      <c r="E69" t="s">
        <v>138</v>
      </c>
      <c r="F69" t="s">
        <v>138</v>
      </c>
      <c r="G69" t="s">
        <v>138</v>
      </c>
      <c r="H69" t="s">
        <v>138</v>
      </c>
      <c r="I69" t="s">
        <v>138</v>
      </c>
      <c r="J69" t="s">
        <v>138</v>
      </c>
      <c r="K69" t="s">
        <v>138</v>
      </c>
      <c r="L69" t="s">
        <v>138</v>
      </c>
      <c r="M69" t="s">
        <v>138</v>
      </c>
      <c r="N69" t="s">
        <v>138</v>
      </c>
    </row>
    <row r="70" spans="2:14" x14ac:dyDescent="0.2">
      <c r="B70" t="s">
        <v>147</v>
      </c>
      <c r="C70" t="s">
        <v>159</v>
      </c>
      <c r="D70" t="s">
        <v>159</v>
      </c>
      <c r="E70" t="s">
        <v>159</v>
      </c>
      <c r="F70" t="s">
        <v>159</v>
      </c>
      <c r="G70" t="s">
        <v>159</v>
      </c>
      <c r="H70" t="s">
        <v>159</v>
      </c>
      <c r="I70" t="s">
        <v>159</v>
      </c>
      <c r="J70" t="s">
        <v>159</v>
      </c>
      <c r="K70" t="s">
        <v>159</v>
      </c>
      <c r="L70" t="s">
        <v>159</v>
      </c>
      <c r="M70" t="s">
        <v>159</v>
      </c>
      <c r="N70" t="s">
        <v>159</v>
      </c>
    </row>
    <row r="71" spans="2:14" x14ac:dyDescent="0.2">
      <c r="B71" t="s">
        <v>138</v>
      </c>
      <c r="C71" s="58">
        <f t="shared" ref="C71:N71" si="31">KnockOut(C58,C59,C60,C61,C62,C64,C65,C66,C67,C68,C63,C57,$B71,C70)</f>
        <v>0.33496958621896733</v>
      </c>
      <c r="D71" s="58">
        <f t="shared" si="31"/>
        <v>0.48077527430285671</v>
      </c>
      <c r="E71" s="58">
        <f t="shared" si="31"/>
        <v>0.61203021591683071</v>
      </c>
      <c r="F71" s="58">
        <f t="shared" si="31"/>
        <v>0.69458874202434884</v>
      </c>
      <c r="G71" s="58">
        <f t="shared" si="31"/>
        <v>0.69206169749267044</v>
      </c>
      <c r="H71" s="58">
        <f t="shared" si="31"/>
        <v>0.56590519854279031</v>
      </c>
      <c r="I71" s="58">
        <f t="shared" si="31"/>
        <v>0.28373040506728453</v>
      </c>
      <c r="J71" s="58">
        <f t="shared" si="31"/>
        <v>-0.15740864392718892</v>
      </c>
      <c r="K71" s="58">
        <f t="shared" si="31"/>
        <v>-0.70376622985699411</v>
      </c>
      <c r="L71" s="58">
        <f t="shared" si="31"/>
        <v>-1.2396668928833892</v>
      </c>
      <c r="M71" s="58">
        <f t="shared" si="31"/>
        <v>-1.6219228749936061</v>
      </c>
      <c r="N71" s="58">
        <f t="shared" si="31"/>
        <v>0</v>
      </c>
    </row>
    <row r="72" spans="2:14" x14ac:dyDescent="0.2">
      <c r="B72" t="s">
        <v>158</v>
      </c>
      <c r="C72" s="58">
        <f t="shared" ref="C72:N72" si="32">KnockOut(C58,C59,C60,C61,C62,C64,C65,C66,C67,C68,C63,C57,$B72,C70)</f>
        <v>1.8048787848843153E-3</v>
      </c>
      <c r="D72" s="58">
        <f t="shared" si="32"/>
        <v>1.8940418710089405E-3</v>
      </c>
      <c r="E72" s="58">
        <f t="shared" si="32"/>
        <v>1.5690440681359274E-3</v>
      </c>
      <c r="F72" s="58">
        <f t="shared" si="32"/>
        <v>7.6505852637921733E-4</v>
      </c>
      <c r="G72" s="58">
        <f t="shared" si="32"/>
        <v>-5.8606742462054902E-4</v>
      </c>
      <c r="H72" s="82">
        <f t="shared" si="32"/>
        <v>-2.5264383994815253E-3</v>
      </c>
      <c r="I72" s="58">
        <f t="shared" si="32"/>
        <v>-4.8820098249938385E-3</v>
      </c>
      <c r="J72" s="58">
        <f t="shared" si="32"/>
        <v>-7.0577483907661416E-3</v>
      </c>
      <c r="K72" s="58">
        <f t="shared" si="32"/>
        <v>-8.1076570150679442E-3</v>
      </c>
      <c r="L72" s="58">
        <f t="shared" si="32"/>
        <v>-7.2031625072051355E-3</v>
      </c>
      <c r="M72" s="58">
        <f t="shared" si="32"/>
        <v>-4.2268311535103055E-3</v>
      </c>
      <c r="N72" s="58">
        <f t="shared" si="32"/>
        <v>0</v>
      </c>
    </row>
    <row r="73" spans="2:14" x14ac:dyDescent="0.2">
      <c r="B73" t="s">
        <v>137</v>
      </c>
      <c r="C73" s="58">
        <f t="shared" ref="C73:N73" si="33">KnockOut(C58,C59,C60,C61,C62,C64,C65,C66,C67,C68,C63,C57,$B73,C70)</f>
        <v>1.1292892405834384E-2</v>
      </c>
      <c r="D73" s="58">
        <f t="shared" si="33"/>
        <v>1.9525439377340387E-2</v>
      </c>
      <c r="E73" s="58">
        <f t="shared" si="33"/>
        <v>3.0392763317268819E-2</v>
      </c>
      <c r="F73" s="58">
        <f t="shared" si="33"/>
        <v>4.3183612472194072E-2</v>
      </c>
      <c r="G73" s="58">
        <f t="shared" si="33"/>
        <v>5.6555645306895455E-2</v>
      </c>
      <c r="H73" s="58">
        <f t="shared" si="33"/>
        <v>6.8538435432585587E-2</v>
      </c>
      <c r="I73" s="58">
        <f t="shared" si="33"/>
        <v>7.6594708541123074E-2</v>
      </c>
      <c r="J73" s="58">
        <f t="shared" si="33"/>
        <v>7.79613920776345E-2</v>
      </c>
      <c r="K73" s="58">
        <f t="shared" si="33"/>
        <v>7.0438770221009528E-2</v>
      </c>
      <c r="L73" s="58">
        <f t="shared" si="33"/>
        <v>5.3433370013129471E-2</v>
      </c>
      <c r="M73" s="58">
        <f t="shared" si="33"/>
        <v>2.8670132079956678E-2</v>
      </c>
      <c r="N73" s="58">
        <f t="shared" si="33"/>
        <v>0</v>
      </c>
    </row>
    <row r="74" spans="2:14" x14ac:dyDescent="0.2">
      <c r="B74" s="65">
        <f>RKO!G23</f>
        <v>100000000</v>
      </c>
      <c r="C74" s="69">
        <f t="shared" ref="C74:N74" si="34">C71*$B74</f>
        <v>33496958.621896733</v>
      </c>
      <c r="D74" s="69">
        <f t="shared" si="34"/>
        <v>48077527.43028567</v>
      </c>
      <c r="E74" s="69">
        <f t="shared" si="34"/>
        <v>61203021.591683067</v>
      </c>
      <c r="F74" s="69">
        <f t="shared" si="34"/>
        <v>69458874.202434883</v>
      </c>
      <c r="G74" s="69">
        <f t="shared" si="34"/>
        <v>69206169.749267042</v>
      </c>
      <c r="H74" s="69">
        <f t="shared" si="34"/>
        <v>56590519.854279034</v>
      </c>
      <c r="I74" s="69">
        <f t="shared" si="34"/>
        <v>28373040.506728452</v>
      </c>
      <c r="J74" s="69">
        <f t="shared" si="34"/>
        <v>-15740864.392718893</v>
      </c>
      <c r="K74" s="69">
        <f t="shared" si="34"/>
        <v>-70376622.985699415</v>
      </c>
      <c r="L74" s="69">
        <f t="shared" si="34"/>
        <v>-123966689.28833891</v>
      </c>
      <c r="M74" s="69">
        <f t="shared" si="34"/>
        <v>-162192287.49936062</v>
      </c>
      <c r="N74" s="69">
        <f t="shared" si="34"/>
        <v>0</v>
      </c>
    </row>
    <row r="75" spans="2:14" x14ac:dyDescent="0.2">
      <c r="B75" t="s">
        <v>223</v>
      </c>
      <c r="C75" s="69">
        <f t="shared" ref="C75:N75" si="35">C72*$B74</f>
        <v>180487.87848843154</v>
      </c>
      <c r="D75" s="69">
        <f t="shared" si="35"/>
        <v>189404.18710089405</v>
      </c>
      <c r="E75" s="69">
        <f t="shared" si="35"/>
        <v>156904.40681359274</v>
      </c>
      <c r="F75" s="69">
        <f t="shared" si="35"/>
        <v>76505.852637921736</v>
      </c>
      <c r="G75" s="69">
        <f t="shared" si="35"/>
        <v>-58606.742462054899</v>
      </c>
      <c r="H75" s="69">
        <f t="shared" si="35"/>
        <v>-252643.83994815254</v>
      </c>
      <c r="I75" s="69">
        <f t="shared" si="35"/>
        <v>-488200.98249938386</v>
      </c>
      <c r="J75" s="69">
        <f t="shared" si="35"/>
        <v>-705774.83907661412</v>
      </c>
      <c r="K75" s="69">
        <f t="shared" si="35"/>
        <v>-810765.70150679443</v>
      </c>
      <c r="L75" s="69">
        <f t="shared" si="35"/>
        <v>-720316.25072051352</v>
      </c>
      <c r="M75" s="69">
        <f t="shared" si="35"/>
        <v>-422683.11535103054</v>
      </c>
      <c r="N75" s="69">
        <f t="shared" si="35"/>
        <v>0</v>
      </c>
    </row>
    <row r="79" spans="2:14" x14ac:dyDescent="0.2">
      <c r="B79" t="s">
        <v>194</v>
      </c>
      <c r="C79" s="69">
        <f t="shared" ref="C79:N79" si="36">C75+C53</f>
        <v>168223.31355649716</v>
      </c>
      <c r="D79" s="69">
        <f t="shared" si="36"/>
        <v>165250.66651945043</v>
      </c>
      <c r="E79" s="69">
        <f t="shared" si="36"/>
        <v>128042.95868457947</v>
      </c>
      <c r="F79" s="69">
        <f t="shared" si="36"/>
        <v>75110.231475687455</v>
      </c>
      <c r="G79" s="69">
        <f t="shared" si="36"/>
        <v>30863.724778890653</v>
      </c>
      <c r="H79" s="69">
        <f t="shared" si="36"/>
        <v>6967.9256367716007</v>
      </c>
      <c r="I79" s="69">
        <f t="shared" si="36"/>
        <v>-92.838903744937852</v>
      </c>
      <c r="J79" s="69">
        <f t="shared" si="36"/>
        <v>10691.132146933465</v>
      </c>
      <c r="K79" s="69">
        <f t="shared" si="36"/>
        <v>63868.987161210272</v>
      </c>
      <c r="L79" s="69">
        <f t="shared" si="36"/>
        <v>196466.08482391969</v>
      </c>
      <c r="M79" s="69">
        <f t="shared" si="36"/>
        <v>418966.0414438076</v>
      </c>
      <c r="N79" s="69">
        <f t="shared" si="36"/>
        <v>686288.39217388129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8"/>
  <dimension ref="A3:R59"/>
  <sheetViews>
    <sheetView workbookViewId="0"/>
  </sheetViews>
  <sheetFormatPr defaultRowHeight="12.75" x14ac:dyDescent="0.2"/>
  <cols>
    <col min="2" max="2" width="13.5703125" bestFit="1" customWidth="1"/>
    <col min="3" max="10" width="9.7109375" bestFit="1" customWidth="1"/>
    <col min="11" max="14" width="10.7109375" bestFit="1" customWidth="1"/>
  </cols>
  <sheetData>
    <row r="3" spans="1:18" x14ac:dyDescent="0.2">
      <c r="C3" t="s">
        <v>95</v>
      </c>
      <c r="D3" t="s">
        <v>95</v>
      </c>
      <c r="E3" t="s">
        <v>95</v>
      </c>
      <c r="F3" t="s">
        <v>95</v>
      </c>
      <c r="G3" t="s">
        <v>95</v>
      </c>
      <c r="H3" t="s">
        <v>95</v>
      </c>
      <c r="I3" t="s">
        <v>95</v>
      </c>
      <c r="J3" t="s">
        <v>95</v>
      </c>
      <c r="K3" t="s">
        <v>95</v>
      </c>
      <c r="L3" t="s">
        <v>95</v>
      </c>
      <c r="M3" t="s">
        <v>95</v>
      </c>
      <c r="N3" t="s">
        <v>95</v>
      </c>
    </row>
    <row r="4" spans="1:18" x14ac:dyDescent="0.2">
      <c r="B4" t="s">
        <v>142</v>
      </c>
      <c r="C4" t="s">
        <v>186</v>
      </c>
      <c r="D4" t="s">
        <v>186</v>
      </c>
      <c r="E4" t="s">
        <v>186</v>
      </c>
      <c r="F4" t="s">
        <v>186</v>
      </c>
      <c r="G4" t="s">
        <v>186</v>
      </c>
      <c r="H4" t="s">
        <v>186</v>
      </c>
      <c r="I4" t="s">
        <v>186</v>
      </c>
      <c r="J4" t="s">
        <v>186</v>
      </c>
      <c r="K4" t="s">
        <v>186</v>
      </c>
      <c r="L4" t="s">
        <v>186</v>
      </c>
      <c r="M4" t="s">
        <v>186</v>
      </c>
      <c r="N4" t="s">
        <v>186</v>
      </c>
    </row>
    <row r="5" spans="1:18" x14ac:dyDescent="0.2">
      <c r="B5" t="s">
        <v>63</v>
      </c>
      <c r="C5" s="61">
        <v>41340</v>
      </c>
      <c r="D5" s="61">
        <v>41340</v>
      </c>
      <c r="E5" s="61">
        <v>41340</v>
      </c>
      <c r="F5" s="61">
        <v>41340</v>
      </c>
      <c r="G5" s="61">
        <v>41340</v>
      </c>
      <c r="H5" s="61">
        <v>41340</v>
      </c>
      <c r="I5" s="61">
        <v>41340</v>
      </c>
      <c r="J5" s="61">
        <v>41340</v>
      </c>
      <c r="K5" s="61">
        <v>41340</v>
      </c>
      <c r="L5" s="61">
        <v>41340</v>
      </c>
      <c r="M5" s="61">
        <v>41340</v>
      </c>
      <c r="N5" s="61">
        <v>41340</v>
      </c>
    </row>
    <row r="6" spans="1:18" x14ac:dyDescent="0.2">
      <c r="B6" t="s">
        <v>64</v>
      </c>
      <c r="C6" s="61">
        <v>41430</v>
      </c>
      <c r="D6" s="61">
        <f>C6</f>
        <v>41430</v>
      </c>
      <c r="E6" s="61">
        <f t="shared" ref="E6:N7" si="0">D6</f>
        <v>41430</v>
      </c>
      <c r="F6" s="61">
        <f t="shared" si="0"/>
        <v>41430</v>
      </c>
      <c r="G6" s="61">
        <f t="shared" si="0"/>
        <v>41430</v>
      </c>
      <c r="H6" s="61">
        <f t="shared" si="0"/>
        <v>41430</v>
      </c>
      <c r="I6" s="61">
        <f t="shared" si="0"/>
        <v>41430</v>
      </c>
      <c r="J6" s="61">
        <f t="shared" si="0"/>
        <v>41430</v>
      </c>
      <c r="K6" s="61">
        <f t="shared" si="0"/>
        <v>41430</v>
      </c>
      <c r="L6" s="61">
        <f t="shared" si="0"/>
        <v>41430</v>
      </c>
      <c r="M6" s="61">
        <f t="shared" si="0"/>
        <v>41430</v>
      </c>
      <c r="N6" s="61">
        <f t="shared" si="0"/>
        <v>41430</v>
      </c>
    </row>
    <row r="7" spans="1:18" x14ac:dyDescent="0.2">
      <c r="B7" t="s">
        <v>65</v>
      </c>
      <c r="C7" s="57">
        <f>RKO!H65</f>
        <v>109.86446712647293</v>
      </c>
      <c r="D7" s="57">
        <f>C7</f>
        <v>109.86446712647293</v>
      </c>
      <c r="E7" s="57">
        <f t="shared" si="0"/>
        <v>109.86446712647293</v>
      </c>
      <c r="F7" s="57">
        <f t="shared" si="0"/>
        <v>109.86446712647293</v>
      </c>
      <c r="G7" s="57">
        <f t="shared" si="0"/>
        <v>109.86446712647293</v>
      </c>
      <c r="H7" s="57">
        <f t="shared" si="0"/>
        <v>109.86446712647293</v>
      </c>
      <c r="I7" s="57">
        <f t="shared" si="0"/>
        <v>109.86446712647293</v>
      </c>
      <c r="J7" s="57">
        <f t="shared" si="0"/>
        <v>109.86446712647293</v>
      </c>
      <c r="K7" s="57">
        <f t="shared" si="0"/>
        <v>109.86446712647293</v>
      </c>
      <c r="L7" s="57">
        <f t="shared" si="0"/>
        <v>109.86446712647293</v>
      </c>
      <c r="M7" s="57">
        <f t="shared" si="0"/>
        <v>109.86446712647293</v>
      </c>
      <c r="N7" s="57">
        <f t="shared" si="0"/>
        <v>109.86446712647293</v>
      </c>
    </row>
    <row r="8" spans="1:18" x14ac:dyDescent="0.2">
      <c r="A8">
        <v>2</v>
      </c>
      <c r="B8" t="s">
        <v>66</v>
      </c>
      <c r="C8" s="57">
        <v>98</v>
      </c>
      <c r="D8" s="57">
        <f>C8+$A$8</f>
        <v>100</v>
      </c>
      <c r="E8" s="57">
        <f t="shared" ref="E8:N8" si="1">D8+$A$8</f>
        <v>102</v>
      </c>
      <c r="F8" s="57">
        <f t="shared" si="1"/>
        <v>104</v>
      </c>
      <c r="G8" s="57">
        <f t="shared" si="1"/>
        <v>106</v>
      </c>
      <c r="H8" s="57">
        <f t="shared" si="1"/>
        <v>108</v>
      </c>
      <c r="I8" s="57">
        <f t="shared" si="1"/>
        <v>110</v>
      </c>
      <c r="J8" s="57">
        <f t="shared" si="1"/>
        <v>112</v>
      </c>
      <c r="K8" s="57">
        <f t="shared" si="1"/>
        <v>114</v>
      </c>
      <c r="L8" s="57">
        <f t="shared" si="1"/>
        <v>116</v>
      </c>
      <c r="M8" s="57">
        <f t="shared" si="1"/>
        <v>118</v>
      </c>
      <c r="N8" s="57">
        <f t="shared" si="1"/>
        <v>120</v>
      </c>
    </row>
    <row r="9" spans="1:18" x14ac:dyDescent="0.2">
      <c r="B9" t="s">
        <v>67</v>
      </c>
      <c r="C9" s="57">
        <f>C8</f>
        <v>98</v>
      </c>
      <c r="D9" s="57">
        <f t="shared" ref="D9:N9" si="2">D8</f>
        <v>100</v>
      </c>
      <c r="E9" s="57">
        <f t="shared" si="2"/>
        <v>102</v>
      </c>
      <c r="F9" s="57">
        <f t="shared" si="2"/>
        <v>104</v>
      </c>
      <c r="G9" s="57">
        <f t="shared" si="2"/>
        <v>106</v>
      </c>
      <c r="H9" s="57">
        <f t="shared" si="2"/>
        <v>108</v>
      </c>
      <c r="I9" s="57">
        <f t="shared" si="2"/>
        <v>110</v>
      </c>
      <c r="J9" s="57">
        <f t="shared" si="2"/>
        <v>112</v>
      </c>
      <c r="K9" s="57">
        <f t="shared" si="2"/>
        <v>114</v>
      </c>
      <c r="L9" s="57">
        <f t="shared" si="2"/>
        <v>116</v>
      </c>
      <c r="M9" s="57">
        <f t="shared" si="2"/>
        <v>118</v>
      </c>
      <c r="N9" s="57">
        <f t="shared" si="2"/>
        <v>120</v>
      </c>
    </row>
    <row r="10" spans="1:18" x14ac:dyDescent="0.2">
      <c r="B10" t="s">
        <v>143</v>
      </c>
      <c r="C10" s="55">
        <v>0.05</v>
      </c>
      <c r="D10" s="55">
        <v>0.05</v>
      </c>
      <c r="E10" s="55">
        <v>0.05</v>
      </c>
      <c r="F10" s="55">
        <v>0.05</v>
      </c>
      <c r="G10" s="55">
        <v>0.05</v>
      </c>
      <c r="H10" s="55">
        <v>0.05</v>
      </c>
      <c r="I10" s="55">
        <v>0.05</v>
      </c>
      <c r="J10" s="55">
        <v>0.05</v>
      </c>
      <c r="K10" s="55">
        <v>0.05</v>
      </c>
      <c r="L10" s="55">
        <v>0.05</v>
      </c>
      <c r="M10" s="55">
        <v>0.05</v>
      </c>
      <c r="N10" s="55">
        <v>0.05</v>
      </c>
    </row>
    <row r="11" spans="1:18" x14ac:dyDescent="0.2">
      <c r="B11" t="s">
        <v>144</v>
      </c>
      <c r="C11" t="s">
        <v>53</v>
      </c>
      <c r="D11" t="s">
        <v>53</v>
      </c>
      <c r="E11" t="s">
        <v>53</v>
      </c>
      <c r="F11" t="s">
        <v>53</v>
      </c>
      <c r="G11" t="s">
        <v>53</v>
      </c>
      <c r="H11" t="s">
        <v>53</v>
      </c>
      <c r="I11" t="s">
        <v>53</v>
      </c>
      <c r="J11" t="s">
        <v>53</v>
      </c>
      <c r="K11" t="s">
        <v>53</v>
      </c>
      <c r="L11" t="s">
        <v>53</v>
      </c>
      <c r="M11" t="s">
        <v>53</v>
      </c>
      <c r="N11" t="s">
        <v>53</v>
      </c>
      <c r="R11" t="s">
        <v>233</v>
      </c>
    </row>
    <row r="12" spans="1:18" x14ac:dyDescent="0.2">
      <c r="B12" t="s">
        <v>145</v>
      </c>
      <c r="C12" s="54">
        <v>0.2</v>
      </c>
      <c r="D12" s="54">
        <v>0.2</v>
      </c>
      <c r="E12" s="54">
        <v>0.2</v>
      </c>
      <c r="F12" s="54">
        <v>0.2</v>
      </c>
      <c r="G12" s="54">
        <v>0.2</v>
      </c>
      <c r="H12" s="54">
        <v>0.2</v>
      </c>
      <c r="I12" s="54">
        <v>0.2</v>
      </c>
      <c r="J12" s="54">
        <v>0.2</v>
      </c>
      <c r="K12" s="54">
        <v>0.2</v>
      </c>
      <c r="L12" s="54">
        <v>0.2</v>
      </c>
      <c r="M12" s="54">
        <v>0.2</v>
      </c>
      <c r="N12" s="54">
        <v>0.2</v>
      </c>
    </row>
    <row r="13" spans="1:18" x14ac:dyDescent="0.2">
      <c r="B13" t="s">
        <v>147</v>
      </c>
      <c r="C13" t="s">
        <v>159</v>
      </c>
      <c r="D13" t="s">
        <v>159</v>
      </c>
      <c r="E13" t="s">
        <v>159</v>
      </c>
      <c r="F13" t="s">
        <v>159</v>
      </c>
      <c r="G13" t="s">
        <v>159</v>
      </c>
      <c r="H13" t="s">
        <v>159</v>
      </c>
      <c r="I13" t="s">
        <v>159</v>
      </c>
      <c r="J13" t="s">
        <v>159</v>
      </c>
      <c r="K13" t="s">
        <v>159</v>
      </c>
      <c r="L13" t="s">
        <v>159</v>
      </c>
      <c r="M13" t="s">
        <v>159</v>
      </c>
      <c r="N13" t="s">
        <v>159</v>
      </c>
    </row>
    <row r="14" spans="1:18" x14ac:dyDescent="0.2">
      <c r="B14" t="s">
        <v>138</v>
      </c>
      <c r="C14" s="58">
        <f t="shared" ref="C14:N14" si="3">Vanilla(C3,C4,C5,C6,C7,C8,C9,C10,C11,C12,$B14,C13)</f>
        <v>0.12736459871167</v>
      </c>
      <c r="D14" s="58">
        <f t="shared" si="3"/>
        <v>0.17300595101803973</v>
      </c>
      <c r="E14" s="58">
        <f t="shared" si="3"/>
        <v>0.22619267164638324</v>
      </c>
      <c r="F14" s="58">
        <f t="shared" si="3"/>
        <v>0.28551813593351066</v>
      </c>
      <c r="G14" s="58">
        <f t="shared" si="3"/>
        <v>0.34898301762453537</v>
      </c>
      <c r="H14" s="58">
        <f t="shared" si="3"/>
        <v>0.4142083514265224</v>
      </c>
      <c r="I14" s="58">
        <f t="shared" si="3"/>
        <v>0.47869735708671451</v>
      </c>
      <c r="J14" s="58">
        <f t="shared" si="3"/>
        <v>0.54009687359473002</v>
      </c>
      <c r="K14" s="58">
        <f t="shared" si="3"/>
        <v>0.59641481090240878</v>
      </c>
      <c r="L14" s="58">
        <f t="shared" si="3"/>
        <v>0.64616803254389721</v>
      </c>
      <c r="M14" s="58">
        <f t="shared" si="3"/>
        <v>0.68844519598146203</v>
      </c>
      <c r="N14" s="58">
        <f t="shared" si="3"/>
        <v>0.72289439592098892</v>
      </c>
    </row>
    <row r="15" spans="1:18" x14ac:dyDescent="0.2">
      <c r="B15" t="s">
        <v>158</v>
      </c>
      <c r="C15" s="58">
        <f t="shared" ref="C15:N15" si="4">Vanilla(C3,C4,C5,C6,C7,C8,C9,C10,C11,C12,$B15,C13)</f>
        <v>1.0674752537254207E-3</v>
      </c>
      <c r="D15" s="58">
        <f t="shared" si="4"/>
        <v>1.308115044396798E-3</v>
      </c>
      <c r="E15" s="58">
        <f t="shared" si="4"/>
        <v>1.5337130284850458E-3</v>
      </c>
      <c r="F15" s="58">
        <f t="shared" si="4"/>
        <v>1.7247773603813958E-3</v>
      </c>
      <c r="G15" s="58">
        <f t="shared" si="4"/>
        <v>1.8647432988346683E-3</v>
      </c>
      <c r="H15" s="82">
        <f t="shared" si="4"/>
        <v>1.9424072772890107E-3</v>
      </c>
      <c r="I15" s="58">
        <f t="shared" si="4"/>
        <v>1.9533155569944195E-3</v>
      </c>
      <c r="J15" s="58">
        <f t="shared" si="4"/>
        <v>1.8999125494778648E-3</v>
      </c>
      <c r="K15" s="58">
        <f t="shared" si="4"/>
        <v>1.790561722679832E-3</v>
      </c>
      <c r="L15" s="58">
        <f t="shared" si="4"/>
        <v>1.6377823630551831E-3</v>
      </c>
      <c r="M15" s="58">
        <f t="shared" si="4"/>
        <v>1.4561500352700603E-3</v>
      </c>
      <c r="N15" s="58">
        <f t="shared" si="4"/>
        <v>1.2602870250183324E-3</v>
      </c>
    </row>
    <row r="16" spans="1:18" x14ac:dyDescent="0.2">
      <c r="B16" t="s">
        <v>137</v>
      </c>
      <c r="C16" s="58">
        <f t="shared" ref="C16:N16" si="5">Vanilla(C3,C4,C5,C6,C7,C8,C9,C10,C11,C12,$B16,C13)</f>
        <v>6.4369942248916154E-3</v>
      </c>
      <c r="D16" s="58">
        <f t="shared" si="5"/>
        <v>9.4560640014123253E-3</v>
      </c>
      <c r="E16" s="58">
        <f t="shared" si="5"/>
        <v>1.3395457033908169E-2</v>
      </c>
      <c r="F16" s="58">
        <f t="shared" si="5"/>
        <v>1.8353402796365496E-2</v>
      </c>
      <c r="G16" s="58">
        <f t="shared" si="5"/>
        <v>2.4389751779326004E-2</v>
      </c>
      <c r="H16" s="58">
        <f t="shared" si="5"/>
        <v>3.1519793266152625E-2</v>
      </c>
      <c r="I16" s="58">
        <f t="shared" si="5"/>
        <v>3.9713216645849848E-2</v>
      </c>
      <c r="J16" s="58">
        <f t="shared" si="5"/>
        <v>4.8896186815399152E-2</v>
      </c>
      <c r="K16" s="58">
        <f t="shared" si="5"/>
        <v>5.8961442815412018E-2</v>
      </c>
      <c r="L16" s="58">
        <f t="shared" si="5"/>
        <v>6.9775877843559556E-2</v>
      </c>
      <c r="M16" s="58">
        <f t="shared" si="5"/>
        <v>8.1193073615051972E-2</v>
      </c>
      <c r="N16" s="58">
        <f t="shared" si="5"/>
        <v>9.3063483602227839E-2</v>
      </c>
    </row>
    <row r="17" spans="2:14" x14ac:dyDescent="0.2">
      <c r="B17" s="65">
        <f>-(H31+H47)/H15*B33</f>
        <v>-1885258609.6217334</v>
      </c>
      <c r="C17" s="69">
        <f t="shared" ref="C17:N17" si="6">C15*$B17</f>
        <v>-2012466.9126439937</v>
      </c>
      <c r="D17" s="69">
        <f t="shared" si="6"/>
        <v>-2466135.1498247795</v>
      </c>
      <c r="E17" s="69">
        <f t="shared" si="6"/>
        <v>-2891445.6916404557</v>
      </c>
      <c r="F17" s="69">
        <f t="shared" si="6"/>
        <v>-3251651.3683396736</v>
      </c>
      <c r="G17" s="69">
        <f t="shared" si="6"/>
        <v>-3515523.3588624913</v>
      </c>
      <c r="H17" s="69">
        <f t="shared" si="6"/>
        <v>-3661940.0429010172</v>
      </c>
      <c r="I17" s="69">
        <f t="shared" si="6"/>
        <v>-3682504.9711318011</v>
      </c>
      <c r="J17" s="69">
        <f t="shared" si="6"/>
        <v>-3581826.4914315222</v>
      </c>
      <c r="K17" s="69">
        <f t="shared" si="6"/>
        <v>-3375671.9037412759</v>
      </c>
      <c r="L17" s="69">
        <f t="shared" si="6"/>
        <v>-3087643.3006364116</v>
      </c>
      <c r="M17" s="69">
        <f t="shared" si="6"/>
        <v>-2745219.3908938719</v>
      </c>
      <c r="N17" s="69">
        <f t="shared" si="6"/>
        <v>-2375966.9645103719</v>
      </c>
    </row>
    <row r="19" spans="2:14" x14ac:dyDescent="0.2">
      <c r="C19" t="s">
        <v>95</v>
      </c>
      <c r="D19" t="s">
        <v>95</v>
      </c>
      <c r="E19" t="s">
        <v>95</v>
      </c>
      <c r="F19" t="s">
        <v>95</v>
      </c>
      <c r="G19" t="s">
        <v>95</v>
      </c>
      <c r="H19" t="s">
        <v>95</v>
      </c>
      <c r="I19" t="s">
        <v>95</v>
      </c>
      <c r="J19" t="s">
        <v>95</v>
      </c>
      <c r="K19" t="s">
        <v>95</v>
      </c>
      <c r="L19" t="s">
        <v>95</v>
      </c>
      <c r="M19" t="s">
        <v>95</v>
      </c>
      <c r="N19" t="s">
        <v>95</v>
      </c>
    </row>
    <row r="20" spans="2:14" x14ac:dyDescent="0.2">
      <c r="B20" t="s">
        <v>142</v>
      </c>
      <c r="C20" t="s">
        <v>189</v>
      </c>
      <c r="D20" t="s">
        <v>189</v>
      </c>
      <c r="E20" t="s">
        <v>189</v>
      </c>
      <c r="F20" t="s">
        <v>189</v>
      </c>
      <c r="G20" t="s">
        <v>189</v>
      </c>
      <c r="H20" t="s">
        <v>189</v>
      </c>
      <c r="I20" t="s">
        <v>189</v>
      </c>
      <c r="J20" t="s">
        <v>189</v>
      </c>
      <c r="K20" t="s">
        <v>189</v>
      </c>
      <c r="L20" t="s">
        <v>189</v>
      </c>
      <c r="M20" t="s">
        <v>189</v>
      </c>
      <c r="N20" t="s">
        <v>189</v>
      </c>
    </row>
    <row r="21" spans="2:14" x14ac:dyDescent="0.2">
      <c r="B21" t="s">
        <v>63</v>
      </c>
      <c r="C21" s="61">
        <v>41340</v>
      </c>
      <c r="D21" s="61">
        <v>41340</v>
      </c>
      <c r="E21" s="61">
        <v>41340</v>
      </c>
      <c r="F21" s="61">
        <v>41340</v>
      </c>
      <c r="G21" s="61">
        <v>41340</v>
      </c>
      <c r="H21" s="61">
        <v>41340</v>
      </c>
      <c r="I21" s="61">
        <v>41340</v>
      </c>
      <c r="J21" s="61">
        <v>41340</v>
      </c>
      <c r="K21" s="61">
        <v>41340</v>
      </c>
      <c r="L21" s="61">
        <v>41340</v>
      </c>
      <c r="M21" s="61">
        <v>41340</v>
      </c>
      <c r="N21" s="61">
        <v>41340</v>
      </c>
    </row>
    <row r="22" spans="2:14" x14ac:dyDescent="0.2">
      <c r="B22" t="s">
        <v>64</v>
      </c>
      <c r="C22" s="61">
        <f>C38</f>
        <v>41430</v>
      </c>
      <c r="D22" s="61">
        <f>C22</f>
        <v>41430</v>
      </c>
      <c r="E22" s="61">
        <f t="shared" ref="E22:N22" si="7">D22</f>
        <v>41430</v>
      </c>
      <c r="F22" s="61">
        <f t="shared" si="7"/>
        <v>41430</v>
      </c>
      <c r="G22" s="61">
        <f t="shared" si="7"/>
        <v>41430</v>
      </c>
      <c r="H22" s="61">
        <f t="shared" si="7"/>
        <v>41430</v>
      </c>
      <c r="I22" s="61">
        <f t="shared" si="7"/>
        <v>41430</v>
      </c>
      <c r="J22" s="61">
        <f t="shared" si="7"/>
        <v>41430</v>
      </c>
      <c r="K22" s="61">
        <f t="shared" si="7"/>
        <v>41430</v>
      </c>
      <c r="L22" s="61">
        <f t="shared" si="7"/>
        <v>41430</v>
      </c>
      <c r="M22" s="61">
        <f t="shared" si="7"/>
        <v>41430</v>
      </c>
      <c r="N22" s="61">
        <f t="shared" si="7"/>
        <v>41430</v>
      </c>
    </row>
    <row r="23" spans="2:14" x14ac:dyDescent="0.2">
      <c r="B23" t="s">
        <v>65</v>
      </c>
      <c r="C23" s="62">
        <f>RKO!C23</f>
        <v>105.99812308472085</v>
      </c>
      <c r="D23" s="62">
        <f t="shared" ref="D23:N23" si="8">$C$23</f>
        <v>105.99812308472085</v>
      </c>
      <c r="E23" s="62">
        <f t="shared" si="8"/>
        <v>105.99812308472085</v>
      </c>
      <c r="F23" s="62">
        <f t="shared" si="8"/>
        <v>105.99812308472085</v>
      </c>
      <c r="G23" s="62">
        <f t="shared" si="8"/>
        <v>105.99812308472085</v>
      </c>
      <c r="H23" s="62">
        <f t="shared" si="8"/>
        <v>105.99812308472085</v>
      </c>
      <c r="I23" s="62">
        <f t="shared" si="8"/>
        <v>105.99812308472085</v>
      </c>
      <c r="J23" s="62">
        <f t="shared" si="8"/>
        <v>105.99812308472085</v>
      </c>
      <c r="K23" s="62">
        <f t="shared" si="8"/>
        <v>105.99812308472085</v>
      </c>
      <c r="L23" s="62">
        <f t="shared" si="8"/>
        <v>105.99812308472085</v>
      </c>
      <c r="M23" s="62">
        <f t="shared" si="8"/>
        <v>105.99812308472085</v>
      </c>
      <c r="N23" s="62">
        <f t="shared" si="8"/>
        <v>105.99812308472085</v>
      </c>
    </row>
    <row r="24" spans="2:14" x14ac:dyDescent="0.2">
      <c r="B24" t="s">
        <v>66</v>
      </c>
      <c r="C24" s="62">
        <f t="shared" ref="C24:N24" si="9">C8</f>
        <v>98</v>
      </c>
      <c r="D24" s="62">
        <f t="shared" si="9"/>
        <v>100</v>
      </c>
      <c r="E24" s="62">
        <f t="shared" si="9"/>
        <v>102</v>
      </c>
      <c r="F24" s="62">
        <f t="shared" si="9"/>
        <v>104</v>
      </c>
      <c r="G24" s="62">
        <f t="shared" si="9"/>
        <v>106</v>
      </c>
      <c r="H24" s="62">
        <f t="shared" si="9"/>
        <v>108</v>
      </c>
      <c r="I24" s="62">
        <f t="shared" si="9"/>
        <v>110</v>
      </c>
      <c r="J24" s="62">
        <f t="shared" si="9"/>
        <v>112</v>
      </c>
      <c r="K24" s="62">
        <f t="shared" si="9"/>
        <v>114</v>
      </c>
      <c r="L24" s="62">
        <f t="shared" si="9"/>
        <v>116</v>
      </c>
      <c r="M24" s="62">
        <f t="shared" si="9"/>
        <v>118</v>
      </c>
      <c r="N24" s="62">
        <f t="shared" si="9"/>
        <v>120</v>
      </c>
    </row>
    <row r="25" spans="2:14" x14ac:dyDescent="0.2">
      <c r="B25" t="s">
        <v>67</v>
      </c>
      <c r="C25" s="57">
        <f>C24</f>
        <v>98</v>
      </c>
      <c r="D25" s="57">
        <f t="shared" ref="D25:N25" si="10">D24</f>
        <v>100</v>
      </c>
      <c r="E25" s="57">
        <f t="shared" si="10"/>
        <v>102</v>
      </c>
      <c r="F25" s="57">
        <f t="shared" si="10"/>
        <v>104</v>
      </c>
      <c r="G25" s="57">
        <f t="shared" si="10"/>
        <v>106</v>
      </c>
      <c r="H25" s="57">
        <f t="shared" si="10"/>
        <v>108</v>
      </c>
      <c r="I25" s="57">
        <f t="shared" si="10"/>
        <v>110</v>
      </c>
      <c r="J25" s="57">
        <f t="shared" si="10"/>
        <v>112</v>
      </c>
      <c r="K25" s="57">
        <f t="shared" si="10"/>
        <v>114</v>
      </c>
      <c r="L25" s="57">
        <f t="shared" si="10"/>
        <v>116</v>
      </c>
      <c r="M25" s="57">
        <f t="shared" si="10"/>
        <v>118</v>
      </c>
      <c r="N25" s="57">
        <f t="shared" si="10"/>
        <v>120</v>
      </c>
    </row>
    <row r="26" spans="2:14" x14ac:dyDescent="0.2">
      <c r="B26" t="s">
        <v>143</v>
      </c>
      <c r="C26" s="55">
        <v>0.05</v>
      </c>
      <c r="D26" s="55">
        <v>0.05</v>
      </c>
      <c r="E26" s="55">
        <v>0.05</v>
      </c>
      <c r="F26" s="55">
        <v>0.05</v>
      </c>
      <c r="G26" s="55">
        <v>0.05</v>
      </c>
      <c r="H26" s="55">
        <v>0.05</v>
      </c>
      <c r="I26" s="55">
        <v>0.05</v>
      </c>
      <c r="J26" s="55">
        <v>0.05</v>
      </c>
      <c r="K26" s="55">
        <v>0.05</v>
      </c>
      <c r="L26" s="55">
        <v>0.05</v>
      </c>
      <c r="M26" s="55">
        <v>0.05</v>
      </c>
      <c r="N26" s="55">
        <v>0.05</v>
      </c>
    </row>
    <row r="27" spans="2:14" x14ac:dyDescent="0.2">
      <c r="B27" t="s">
        <v>144</v>
      </c>
      <c r="C27" t="s">
        <v>53</v>
      </c>
      <c r="D27" t="s">
        <v>53</v>
      </c>
      <c r="E27" t="s">
        <v>53</v>
      </c>
      <c r="F27" t="s">
        <v>53</v>
      </c>
      <c r="G27" t="s">
        <v>53</v>
      </c>
      <c r="H27" t="s">
        <v>53</v>
      </c>
      <c r="I27" t="s">
        <v>53</v>
      </c>
      <c r="J27" t="s">
        <v>53</v>
      </c>
      <c r="K27" t="s">
        <v>53</v>
      </c>
      <c r="L27" t="s">
        <v>53</v>
      </c>
      <c r="M27" t="s">
        <v>53</v>
      </c>
      <c r="N27" t="s">
        <v>53</v>
      </c>
    </row>
    <row r="28" spans="2:14" x14ac:dyDescent="0.2">
      <c r="B28" t="s">
        <v>145</v>
      </c>
      <c r="C28" s="54">
        <v>0.21</v>
      </c>
      <c r="D28" s="54">
        <v>0.21</v>
      </c>
      <c r="E28" s="54">
        <v>0.21</v>
      </c>
      <c r="F28" s="54">
        <v>0.21</v>
      </c>
      <c r="G28" s="54">
        <v>0.21</v>
      </c>
      <c r="H28" s="54">
        <v>0.21</v>
      </c>
      <c r="I28" s="54">
        <v>0.21</v>
      </c>
      <c r="J28" s="54">
        <v>0.21</v>
      </c>
      <c r="K28" s="54">
        <v>0.21</v>
      </c>
      <c r="L28" s="54">
        <v>0.21</v>
      </c>
      <c r="M28" s="54">
        <v>0.21</v>
      </c>
      <c r="N28" s="54">
        <v>0.21</v>
      </c>
    </row>
    <row r="29" spans="2:14" x14ac:dyDescent="0.2">
      <c r="B29" t="s">
        <v>147</v>
      </c>
      <c r="C29" t="s">
        <v>159</v>
      </c>
      <c r="D29" t="s">
        <v>159</v>
      </c>
      <c r="E29" t="s">
        <v>159</v>
      </c>
      <c r="F29" t="s">
        <v>159</v>
      </c>
      <c r="G29" t="s">
        <v>159</v>
      </c>
      <c r="H29" t="s">
        <v>159</v>
      </c>
      <c r="I29" t="s">
        <v>159</v>
      </c>
      <c r="J29" t="s">
        <v>159</v>
      </c>
      <c r="K29" t="s">
        <v>159</v>
      </c>
      <c r="L29" t="s">
        <v>159</v>
      </c>
      <c r="M29" t="s">
        <v>159</v>
      </c>
      <c r="N29" t="s">
        <v>159</v>
      </c>
    </row>
    <row r="30" spans="2:14" x14ac:dyDescent="0.2">
      <c r="B30" t="s">
        <v>138</v>
      </c>
      <c r="C30" s="58">
        <f t="shared" ref="C30:N30" si="11">Vanilla(C19,C20,C21,C22,C23,C24,C25,C26,C27,C28,$B30,C29)</f>
        <v>-0.84356208440570779</v>
      </c>
      <c r="D30" s="58">
        <f t="shared" si="11"/>
        <v>-0.7637290428968625</v>
      </c>
      <c r="E30" s="58">
        <f t="shared" si="11"/>
        <v>-0.6807380488701078</v>
      </c>
      <c r="F30" s="58">
        <f t="shared" si="11"/>
        <v>-0.59684801912134922</v>
      </c>
      <c r="G30" s="58">
        <f t="shared" si="11"/>
        <v>-0.51442685810340394</v>
      </c>
      <c r="H30" s="58">
        <f t="shared" si="11"/>
        <v>-0.43570366889228745</v>
      </c>
      <c r="I30" s="58">
        <f t="shared" si="11"/>
        <v>-0.3625642780024157</v>
      </c>
      <c r="J30" s="58">
        <f t="shared" si="11"/>
        <v>-0.29641197967911476</v>
      </c>
      <c r="K30" s="58">
        <f t="shared" si="11"/>
        <v>-0.23810842667799653</v>
      </c>
      <c r="L30" s="58">
        <f t="shared" si="11"/>
        <v>-0.18798435240355238</v>
      </c>
      <c r="M30" s="58">
        <f t="shared" si="11"/>
        <v>-0.14590626779957405</v>
      </c>
      <c r="N30" s="58">
        <f t="shared" si="11"/>
        <v>-0.11137757110347031</v>
      </c>
    </row>
    <row r="31" spans="2:14" x14ac:dyDescent="0.2">
      <c r="B31" t="s">
        <v>158</v>
      </c>
      <c r="C31" s="58">
        <f t="shared" ref="C31:N31" si="12">Vanilla(C19,C20,C21,C22,C23,C24,C25,C26,C27,C28,$B31,C29)</f>
        <v>1.5315898658697588E-3</v>
      </c>
      <c r="D31" s="58">
        <f t="shared" si="12"/>
        <v>1.7215015263003799E-3</v>
      </c>
      <c r="E31" s="58">
        <f t="shared" si="12"/>
        <v>1.8614313152998602E-3</v>
      </c>
      <c r="F31" s="58">
        <f t="shared" si="12"/>
        <v>1.9405239192190954E-3</v>
      </c>
      <c r="G31" s="58">
        <f t="shared" si="12"/>
        <v>1.954406310419504E-3</v>
      </c>
      <c r="H31" s="82">
        <f t="shared" si="12"/>
        <v>1.9053091355710006E-3</v>
      </c>
      <c r="I31" s="58">
        <f t="shared" si="12"/>
        <v>1.8011341161041606E-3</v>
      </c>
      <c r="J31" s="58">
        <f t="shared" si="12"/>
        <v>1.6537919596823886E-3</v>
      </c>
      <c r="K31" s="58">
        <f t="shared" si="12"/>
        <v>1.4772267736501534E-3</v>
      </c>
      <c r="L31" s="58">
        <f t="shared" si="12"/>
        <v>1.2855202704167715E-3</v>
      </c>
      <c r="M31" s="58">
        <f t="shared" si="12"/>
        <v>1.0913655784140991E-3</v>
      </c>
      <c r="N31" s="58">
        <f t="shared" si="12"/>
        <v>9.050621341957295E-4</v>
      </c>
    </row>
    <row r="32" spans="2:14" x14ac:dyDescent="0.2">
      <c r="B32" t="s">
        <v>137</v>
      </c>
      <c r="C32" s="58">
        <f t="shared" ref="C32:N32" si="13">Vanilla(C19,C20,C21,C22,C23,C24,C25,C26,C27,C28,$B32,C29)</f>
        <v>9.4613359683357226E-2</v>
      </c>
      <c r="D32" s="58">
        <f t="shared" si="13"/>
        <v>7.8367820663530874E-2</v>
      </c>
      <c r="E32" s="58">
        <f t="shared" si="13"/>
        <v>6.4059544523243195E-2</v>
      </c>
      <c r="F32" s="58">
        <f t="shared" si="13"/>
        <v>5.1653127096756499E-2</v>
      </c>
      <c r="G32" s="58">
        <f t="shared" si="13"/>
        <v>4.1071135002061887E-2</v>
      </c>
      <c r="H32" s="58">
        <f t="shared" si="13"/>
        <v>3.219599457156793E-2</v>
      </c>
      <c r="I32" s="58">
        <f t="shared" si="13"/>
        <v>2.4880036473471024E-2</v>
      </c>
      <c r="J32" s="58">
        <f t="shared" si="13"/>
        <v>1.8952683602202924E-2</v>
      </c>
      <c r="K32" s="58">
        <f t="shared" si="13"/>
        <v>1.423268552506304E-2</v>
      </c>
      <c r="L32" s="58">
        <f t="shared" si="13"/>
        <v>1.0538002208885466E-2</v>
      </c>
      <c r="M32" s="58">
        <f t="shared" si="13"/>
        <v>7.6943212679433277E-3</v>
      </c>
      <c r="N32" s="58">
        <f t="shared" si="13"/>
        <v>5.5415269084400105E-3</v>
      </c>
    </row>
    <row r="33" spans="2:14" x14ac:dyDescent="0.2">
      <c r="B33" s="65">
        <v>1000000000</v>
      </c>
      <c r="C33" s="69">
        <f t="shared" ref="C33:N33" si="14">C31*$B33</f>
        <v>1531589.8658697589</v>
      </c>
      <c r="D33" s="69">
        <f t="shared" si="14"/>
        <v>1721501.5263003798</v>
      </c>
      <c r="E33" s="69">
        <f t="shared" si="14"/>
        <v>1861431.3152998602</v>
      </c>
      <c r="F33" s="69">
        <f t="shared" si="14"/>
        <v>1940523.9192190953</v>
      </c>
      <c r="G33" s="69">
        <f t="shared" si="14"/>
        <v>1954406.3104195041</v>
      </c>
      <c r="H33" s="69">
        <f t="shared" si="14"/>
        <v>1905309.1355710006</v>
      </c>
      <c r="I33" s="69">
        <f t="shared" si="14"/>
        <v>1801134.1161041607</v>
      </c>
      <c r="J33" s="69">
        <f t="shared" si="14"/>
        <v>1653791.9596823887</v>
      </c>
      <c r="K33" s="69">
        <f t="shared" si="14"/>
        <v>1477226.7736501533</v>
      </c>
      <c r="L33" s="69">
        <f t="shared" si="14"/>
        <v>1285520.2704167715</v>
      </c>
      <c r="M33" s="69">
        <f t="shared" si="14"/>
        <v>1091365.5784140991</v>
      </c>
      <c r="N33" s="69">
        <f t="shared" si="14"/>
        <v>905062.13419572951</v>
      </c>
    </row>
    <row r="35" spans="2:14" x14ac:dyDescent="0.2">
      <c r="C35" t="s">
        <v>95</v>
      </c>
      <c r="D35" t="s">
        <v>95</v>
      </c>
      <c r="E35" t="s">
        <v>95</v>
      </c>
      <c r="F35" t="s">
        <v>95</v>
      </c>
      <c r="G35" t="s">
        <v>95</v>
      </c>
      <c r="H35" t="s">
        <v>95</v>
      </c>
      <c r="I35" t="s">
        <v>95</v>
      </c>
      <c r="J35" t="s">
        <v>95</v>
      </c>
      <c r="K35" t="s">
        <v>95</v>
      </c>
      <c r="L35" t="s">
        <v>95</v>
      </c>
      <c r="M35" t="s">
        <v>95</v>
      </c>
      <c r="N35" t="s">
        <v>95</v>
      </c>
    </row>
    <row r="36" spans="2:14" x14ac:dyDescent="0.2">
      <c r="B36" t="s">
        <v>142</v>
      </c>
      <c r="C36" t="s">
        <v>186</v>
      </c>
      <c r="D36" t="s">
        <v>186</v>
      </c>
      <c r="E36" t="s">
        <v>186</v>
      </c>
      <c r="F36" t="s">
        <v>186</v>
      </c>
      <c r="G36" t="s">
        <v>186</v>
      </c>
      <c r="H36" t="s">
        <v>186</v>
      </c>
      <c r="I36" t="s">
        <v>186</v>
      </c>
      <c r="J36" t="s">
        <v>186</v>
      </c>
      <c r="K36" t="s">
        <v>186</v>
      </c>
      <c r="L36" t="s">
        <v>186</v>
      </c>
      <c r="M36" t="s">
        <v>186</v>
      </c>
      <c r="N36" t="s">
        <v>186</v>
      </c>
    </row>
    <row r="37" spans="2:14" x14ac:dyDescent="0.2">
      <c r="B37" t="s">
        <v>63</v>
      </c>
      <c r="C37" s="61">
        <v>41340</v>
      </c>
      <c r="D37" s="61">
        <v>41340</v>
      </c>
      <c r="E37" s="61">
        <v>41340</v>
      </c>
      <c r="F37" s="61">
        <v>41340</v>
      </c>
      <c r="G37" s="61">
        <v>41340</v>
      </c>
      <c r="H37" s="61">
        <v>41340</v>
      </c>
      <c r="I37" s="61">
        <v>41340</v>
      </c>
      <c r="J37" s="61">
        <v>41340</v>
      </c>
      <c r="K37" s="61">
        <v>41340</v>
      </c>
      <c r="L37" s="61">
        <v>41340</v>
      </c>
      <c r="M37" s="61">
        <v>41340</v>
      </c>
      <c r="N37" s="61">
        <v>41340</v>
      </c>
    </row>
    <row r="38" spans="2:14" x14ac:dyDescent="0.2">
      <c r="B38" t="s">
        <v>64</v>
      </c>
      <c r="C38" s="61">
        <v>41430</v>
      </c>
      <c r="D38" s="61">
        <f>C38</f>
        <v>41430</v>
      </c>
      <c r="E38" s="61">
        <f t="shared" ref="E38:N39" si="15">D38</f>
        <v>41430</v>
      </c>
      <c r="F38" s="61">
        <f t="shared" si="15"/>
        <v>41430</v>
      </c>
      <c r="G38" s="61">
        <f t="shared" si="15"/>
        <v>41430</v>
      </c>
      <c r="H38" s="61">
        <f t="shared" si="15"/>
        <v>41430</v>
      </c>
      <c r="I38" s="61">
        <f t="shared" si="15"/>
        <v>41430</v>
      </c>
      <c r="J38" s="61">
        <f t="shared" si="15"/>
        <v>41430</v>
      </c>
      <c r="K38" s="61">
        <f t="shared" si="15"/>
        <v>41430</v>
      </c>
      <c r="L38" s="61">
        <f t="shared" si="15"/>
        <v>41430</v>
      </c>
      <c r="M38" s="61">
        <f t="shared" si="15"/>
        <v>41430</v>
      </c>
      <c r="N38" s="61">
        <f t="shared" si="15"/>
        <v>41430</v>
      </c>
    </row>
    <row r="39" spans="2:14" x14ac:dyDescent="0.2">
      <c r="B39" t="s">
        <v>65</v>
      </c>
      <c r="C39" s="57">
        <f>RKO!C6</f>
        <v>113.98252701652383</v>
      </c>
      <c r="D39" s="62">
        <f>C39</f>
        <v>113.98252701652383</v>
      </c>
      <c r="E39" s="57">
        <f>D39</f>
        <v>113.98252701652383</v>
      </c>
      <c r="F39" s="57">
        <f t="shared" si="15"/>
        <v>113.98252701652383</v>
      </c>
      <c r="G39" s="57">
        <f t="shared" si="15"/>
        <v>113.98252701652383</v>
      </c>
      <c r="H39" s="57">
        <f t="shared" si="15"/>
        <v>113.98252701652383</v>
      </c>
      <c r="I39" s="57">
        <f t="shared" si="15"/>
        <v>113.98252701652383</v>
      </c>
      <c r="J39" s="57">
        <f t="shared" si="15"/>
        <v>113.98252701652383</v>
      </c>
      <c r="K39" s="57">
        <f t="shared" si="15"/>
        <v>113.98252701652383</v>
      </c>
      <c r="L39" s="57">
        <f t="shared" si="15"/>
        <v>113.98252701652383</v>
      </c>
      <c r="M39" s="57">
        <f t="shared" si="15"/>
        <v>113.98252701652383</v>
      </c>
      <c r="N39" s="57">
        <f t="shared" si="15"/>
        <v>113.98252701652383</v>
      </c>
    </row>
    <row r="40" spans="2:14" x14ac:dyDescent="0.2">
      <c r="B40" t="s">
        <v>66</v>
      </c>
      <c r="C40" s="57">
        <f t="shared" ref="C40:N40" si="16">C8</f>
        <v>98</v>
      </c>
      <c r="D40" s="57">
        <f t="shared" si="16"/>
        <v>100</v>
      </c>
      <c r="E40" s="57">
        <f t="shared" si="16"/>
        <v>102</v>
      </c>
      <c r="F40" s="57">
        <f t="shared" si="16"/>
        <v>104</v>
      </c>
      <c r="G40" s="57">
        <f t="shared" si="16"/>
        <v>106</v>
      </c>
      <c r="H40" s="57">
        <f t="shared" si="16"/>
        <v>108</v>
      </c>
      <c r="I40" s="57">
        <f t="shared" si="16"/>
        <v>110</v>
      </c>
      <c r="J40" s="57">
        <f t="shared" si="16"/>
        <v>112</v>
      </c>
      <c r="K40" s="57">
        <f t="shared" si="16"/>
        <v>114</v>
      </c>
      <c r="L40" s="57">
        <f t="shared" si="16"/>
        <v>116</v>
      </c>
      <c r="M40" s="57">
        <f t="shared" si="16"/>
        <v>118</v>
      </c>
      <c r="N40" s="57">
        <f t="shared" si="16"/>
        <v>120</v>
      </c>
    </row>
    <row r="41" spans="2:14" x14ac:dyDescent="0.2">
      <c r="B41" t="s">
        <v>67</v>
      </c>
      <c r="C41" s="57">
        <f>C40</f>
        <v>98</v>
      </c>
      <c r="D41" s="57">
        <f t="shared" ref="D41:N41" si="17">D40</f>
        <v>100</v>
      </c>
      <c r="E41" s="57">
        <f t="shared" si="17"/>
        <v>102</v>
      </c>
      <c r="F41" s="57">
        <f t="shared" si="17"/>
        <v>104</v>
      </c>
      <c r="G41" s="57">
        <f t="shared" si="17"/>
        <v>106</v>
      </c>
      <c r="H41" s="57">
        <f t="shared" si="17"/>
        <v>108</v>
      </c>
      <c r="I41" s="57">
        <f t="shared" si="17"/>
        <v>110</v>
      </c>
      <c r="J41" s="57">
        <f t="shared" si="17"/>
        <v>112</v>
      </c>
      <c r="K41" s="57">
        <f t="shared" si="17"/>
        <v>114</v>
      </c>
      <c r="L41" s="57">
        <f t="shared" si="17"/>
        <v>116</v>
      </c>
      <c r="M41" s="57">
        <f t="shared" si="17"/>
        <v>118</v>
      </c>
      <c r="N41" s="57">
        <f t="shared" si="17"/>
        <v>120</v>
      </c>
    </row>
    <row r="42" spans="2:14" x14ac:dyDescent="0.2">
      <c r="B42" t="s">
        <v>143</v>
      </c>
      <c r="C42" s="55">
        <v>0.05</v>
      </c>
      <c r="D42" s="55">
        <v>0.05</v>
      </c>
      <c r="E42" s="55">
        <v>0.05</v>
      </c>
      <c r="F42" s="55">
        <v>0.05</v>
      </c>
      <c r="G42" s="55">
        <v>0.05</v>
      </c>
      <c r="H42" s="55">
        <v>0.05</v>
      </c>
      <c r="I42" s="55">
        <v>0.05</v>
      </c>
      <c r="J42" s="55">
        <v>0.05</v>
      </c>
      <c r="K42" s="55">
        <v>0.05</v>
      </c>
      <c r="L42" s="55">
        <v>0.05</v>
      </c>
      <c r="M42" s="55">
        <v>0.05</v>
      </c>
      <c r="N42" s="55">
        <v>0.05</v>
      </c>
    </row>
    <row r="43" spans="2:14" x14ac:dyDescent="0.2">
      <c r="B43" t="s">
        <v>144</v>
      </c>
      <c r="C43" t="s">
        <v>53</v>
      </c>
      <c r="D43" t="s">
        <v>53</v>
      </c>
      <c r="E43" t="s">
        <v>53</v>
      </c>
      <c r="F43" t="s">
        <v>53</v>
      </c>
      <c r="G43" t="s">
        <v>53</v>
      </c>
      <c r="H43" t="s">
        <v>53</v>
      </c>
      <c r="I43" t="s">
        <v>53</v>
      </c>
      <c r="J43" t="s">
        <v>53</v>
      </c>
      <c r="K43" t="s">
        <v>53</v>
      </c>
      <c r="L43" t="s">
        <v>53</v>
      </c>
      <c r="M43" t="s">
        <v>53</v>
      </c>
      <c r="N43" t="s">
        <v>53</v>
      </c>
    </row>
    <row r="44" spans="2:14" x14ac:dyDescent="0.2">
      <c r="B44" t="s">
        <v>145</v>
      </c>
      <c r="C44" s="54">
        <v>0.21</v>
      </c>
      <c r="D44" s="54">
        <v>0.21</v>
      </c>
      <c r="E44" s="54">
        <v>0.21</v>
      </c>
      <c r="F44" s="54">
        <v>0.21</v>
      </c>
      <c r="G44" s="54">
        <v>0.21</v>
      </c>
      <c r="H44" s="54">
        <v>0.21</v>
      </c>
      <c r="I44" s="54">
        <v>0.21</v>
      </c>
      <c r="J44" s="54">
        <v>0.21</v>
      </c>
      <c r="K44" s="54">
        <v>0.21</v>
      </c>
      <c r="L44" s="54">
        <v>0.21</v>
      </c>
      <c r="M44" s="54">
        <v>0.21</v>
      </c>
      <c r="N44" s="54">
        <v>0.21</v>
      </c>
    </row>
    <row r="45" spans="2:14" x14ac:dyDescent="0.2">
      <c r="B45" t="s">
        <v>147</v>
      </c>
      <c r="C45" t="s">
        <v>159</v>
      </c>
      <c r="D45" t="s">
        <v>159</v>
      </c>
      <c r="E45" t="s">
        <v>159</v>
      </c>
      <c r="F45" t="s">
        <v>159</v>
      </c>
      <c r="G45" t="s">
        <v>159</v>
      </c>
      <c r="H45" t="s">
        <v>159</v>
      </c>
      <c r="I45" t="s">
        <v>159</v>
      </c>
      <c r="J45" t="s">
        <v>159</v>
      </c>
      <c r="K45" t="s">
        <v>159</v>
      </c>
      <c r="L45" t="s">
        <v>159</v>
      </c>
      <c r="M45" t="s">
        <v>159</v>
      </c>
      <c r="N45" t="s">
        <v>159</v>
      </c>
    </row>
    <row r="46" spans="2:14" x14ac:dyDescent="0.2">
      <c r="B46" t="s">
        <v>138</v>
      </c>
      <c r="C46" s="58">
        <f t="shared" ref="C46:N46" si="18">Vanilla(C35,C36,C37,C38,C39,C40,C41,C42,C43,C44,$B46,C45)</f>
        <v>7.6625823391607714E-2</v>
      </c>
      <c r="D46" s="58">
        <f t="shared" si="18"/>
        <v>0.10762179819371404</v>
      </c>
      <c r="E46" s="58">
        <f t="shared" si="18"/>
        <v>0.14565376372993694</v>
      </c>
      <c r="F46" s="58">
        <f t="shared" si="18"/>
        <v>0.19046329243995933</v>
      </c>
      <c r="G46" s="58">
        <f t="shared" si="18"/>
        <v>0.24125998690694878</v>
      </c>
      <c r="H46" s="58">
        <f t="shared" si="18"/>
        <v>0.29676348384260293</v>
      </c>
      <c r="I46" s="58">
        <f t="shared" si="18"/>
        <v>0.35531109772913827</v>
      </c>
      <c r="J46" s="58">
        <f t="shared" si="18"/>
        <v>0.41501288371932638</v>
      </c>
      <c r="K46" s="58">
        <f t="shared" si="18"/>
        <v>0.47392848337103155</v>
      </c>
      <c r="L46" s="58">
        <f t="shared" si="18"/>
        <v>0.53023791513475471</v>
      </c>
      <c r="M46" s="58">
        <f t="shared" si="18"/>
        <v>0.58238212151200208</v>
      </c>
      <c r="N46" s="58">
        <f t="shared" si="18"/>
        <v>0.62916174626850574</v>
      </c>
    </row>
    <row r="47" spans="2:14" x14ac:dyDescent="0.2">
      <c r="B47" t="s">
        <v>158</v>
      </c>
      <c r="C47" s="58">
        <f t="shared" ref="C47:N47" si="19">Vanilla(C35,C36,C37,C38,C39,C40,C41,C42,C43,C44,$B47,C45)</f>
        <v>7.3795992148892775E-4</v>
      </c>
      <c r="D47" s="58">
        <f t="shared" si="19"/>
        <v>9.4928349993837161E-4</v>
      </c>
      <c r="E47" s="58">
        <f t="shared" si="19"/>
        <v>1.1715837157445868E-3</v>
      </c>
      <c r="F47" s="58">
        <f t="shared" si="19"/>
        <v>1.3904895649477689E-3</v>
      </c>
      <c r="G47" s="58">
        <f t="shared" si="19"/>
        <v>1.5904248004932036E-3</v>
      </c>
      <c r="H47" s="82">
        <f t="shared" si="19"/>
        <v>1.7566309073300166E-3</v>
      </c>
      <c r="I47" s="58">
        <f t="shared" si="19"/>
        <v>1.8770811543215634E-3</v>
      </c>
      <c r="J47" s="58">
        <f t="shared" si="19"/>
        <v>1.9439307701396517E-3</v>
      </c>
      <c r="K47" s="58">
        <f t="shared" si="19"/>
        <v>1.9542717458370419E-3</v>
      </c>
      <c r="L47" s="58">
        <f t="shared" si="19"/>
        <v>1.9101246053144796E-3</v>
      </c>
      <c r="M47" s="58">
        <f t="shared" si="19"/>
        <v>1.8177563026074331E-3</v>
      </c>
      <c r="N47" s="58">
        <f t="shared" si="19"/>
        <v>1.6865261460671157E-3</v>
      </c>
    </row>
    <row r="48" spans="2:14" x14ac:dyDescent="0.2">
      <c r="B48" t="s">
        <v>137</v>
      </c>
      <c r="C48" s="58">
        <f t="shared" ref="C48:N48" si="20">Vanilla(C35,C36,C37,C38,C39,C40,C41,C42,C43,C44,$B48,C45)</f>
        <v>3.6519694546418993E-3</v>
      </c>
      <c r="D48" s="58">
        <f t="shared" si="20"/>
        <v>5.5002481414717476E-3</v>
      </c>
      <c r="E48" s="58">
        <f t="shared" si="20"/>
        <v>7.9951783869367122E-3</v>
      </c>
      <c r="F48" s="58">
        <f t="shared" si="20"/>
        <v>1.1246666428648525E-2</v>
      </c>
      <c r="G48" s="58">
        <f t="shared" si="20"/>
        <v>1.5348333827431278E-2</v>
      </c>
      <c r="H48" s="58">
        <f t="shared" si="20"/>
        <v>2.036903837976459E-2</v>
      </c>
      <c r="I48" s="58">
        <f t="shared" si="20"/>
        <v>2.6346607625299473E-2</v>
      </c>
      <c r="J48" s="58">
        <f t="shared" si="20"/>
        <v>3.3284671627877925E-2</v>
      </c>
      <c r="K48" s="58">
        <f t="shared" si="20"/>
        <v>4.1152851179270568E-2</v>
      </c>
      <c r="L48" s="58">
        <f t="shared" si="20"/>
        <v>4.988830732649864E-2</v>
      </c>
      <c r="M48" s="58">
        <f t="shared" si="20"/>
        <v>5.9403821886346221E-2</v>
      </c>
      <c r="N48" s="58">
        <f t="shared" si="20"/>
        <v>6.9592222676437193E-2</v>
      </c>
    </row>
    <row r="49" spans="2:14" x14ac:dyDescent="0.2">
      <c r="B49" s="65">
        <f>B33</f>
        <v>1000000000</v>
      </c>
      <c r="C49" s="69">
        <f t="shared" ref="C49:N49" si="21">C47*$B49</f>
        <v>737959.92148892779</v>
      </c>
      <c r="D49" s="69">
        <f t="shared" si="21"/>
        <v>949283.49993837159</v>
      </c>
      <c r="E49" s="69">
        <f t="shared" si="21"/>
        <v>1171583.7157445867</v>
      </c>
      <c r="F49" s="69">
        <f t="shared" si="21"/>
        <v>1390489.5649477688</v>
      </c>
      <c r="G49" s="69">
        <f t="shared" si="21"/>
        <v>1590424.8004932036</v>
      </c>
      <c r="H49" s="69">
        <f t="shared" si="21"/>
        <v>1756630.9073300166</v>
      </c>
      <c r="I49" s="69">
        <f t="shared" si="21"/>
        <v>1877081.1543215634</v>
      </c>
      <c r="J49" s="69">
        <f t="shared" si="21"/>
        <v>1943930.7701396516</v>
      </c>
      <c r="K49" s="69">
        <f t="shared" si="21"/>
        <v>1954271.7458370419</v>
      </c>
      <c r="L49" s="69">
        <f t="shared" si="21"/>
        <v>1910124.6053144794</v>
      </c>
      <c r="M49" s="69">
        <f t="shared" si="21"/>
        <v>1817756.3026074329</v>
      </c>
      <c r="N49" s="69">
        <f t="shared" si="21"/>
        <v>1686526.1460671157</v>
      </c>
    </row>
    <row r="52" spans="2:14" x14ac:dyDescent="0.2">
      <c r="B52" t="s">
        <v>191</v>
      </c>
      <c r="C52" s="57">
        <f t="shared" ref="C52:N52" si="22">C40</f>
        <v>98</v>
      </c>
      <c r="D52" s="57">
        <f t="shared" si="22"/>
        <v>100</v>
      </c>
      <c r="E52" s="57">
        <f t="shared" si="22"/>
        <v>102</v>
      </c>
      <c r="F52" s="57">
        <f t="shared" si="22"/>
        <v>104</v>
      </c>
      <c r="G52" s="57">
        <f t="shared" si="22"/>
        <v>106</v>
      </c>
      <c r="H52" s="57">
        <f t="shared" si="22"/>
        <v>108</v>
      </c>
      <c r="I52" s="57">
        <f t="shared" si="22"/>
        <v>110</v>
      </c>
      <c r="J52" s="57">
        <f t="shared" si="22"/>
        <v>112</v>
      </c>
      <c r="K52" s="57">
        <f t="shared" si="22"/>
        <v>114</v>
      </c>
      <c r="L52" s="57">
        <f t="shared" si="22"/>
        <v>116</v>
      </c>
      <c r="M52" s="57">
        <f t="shared" si="22"/>
        <v>118</v>
      </c>
      <c r="N52" s="57">
        <f t="shared" si="22"/>
        <v>120</v>
      </c>
    </row>
    <row r="53" spans="2:14" x14ac:dyDescent="0.2">
      <c r="B53" t="s">
        <v>228</v>
      </c>
      <c r="C53" s="65">
        <f>C49+C33+C17</f>
        <v>257082.87471469305</v>
      </c>
      <c r="D53" s="65">
        <f t="shared" ref="D53:N53" si="23">D49+D33+D17</f>
        <v>204649.87641397212</v>
      </c>
      <c r="E53" s="65">
        <f t="shared" si="23"/>
        <v>141569.33940399112</v>
      </c>
      <c r="F53" s="65">
        <f t="shared" si="23"/>
        <v>79362.11582719069</v>
      </c>
      <c r="G53" s="65">
        <f t="shared" si="23"/>
        <v>29307.75205021631</v>
      </c>
      <c r="H53" s="65">
        <f t="shared" si="23"/>
        <v>0</v>
      </c>
      <c r="I53" s="65">
        <f t="shared" si="23"/>
        <v>-4289.7007060772739</v>
      </c>
      <c r="J53" s="65">
        <f t="shared" si="23"/>
        <v>15896.238390518352</v>
      </c>
      <c r="K53" s="65">
        <f t="shared" si="23"/>
        <v>55826.615745919291</v>
      </c>
      <c r="L53" s="65">
        <f t="shared" si="23"/>
        <v>108001.57509483956</v>
      </c>
      <c r="M53" s="65">
        <f t="shared" si="23"/>
        <v>163902.49012766033</v>
      </c>
      <c r="N53" s="65">
        <f t="shared" si="23"/>
        <v>215621.31575247319</v>
      </c>
    </row>
    <row r="54" spans="2:14" x14ac:dyDescent="0.2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</row>
    <row r="58" spans="2:14" x14ac:dyDescent="0.2">
      <c r="B58" t="s">
        <v>236</v>
      </c>
      <c r="C58" s="69">
        <v>0</v>
      </c>
      <c r="D58" s="69">
        <f>C58</f>
        <v>0</v>
      </c>
      <c r="E58" s="69">
        <f t="shared" ref="E58:N58" si="24">D58</f>
        <v>0</v>
      </c>
      <c r="F58" s="69">
        <f t="shared" si="24"/>
        <v>0</v>
      </c>
      <c r="G58" s="69">
        <f t="shared" si="24"/>
        <v>0</v>
      </c>
      <c r="H58" s="69">
        <f t="shared" si="24"/>
        <v>0</v>
      </c>
      <c r="I58" s="69">
        <f t="shared" si="24"/>
        <v>0</v>
      </c>
      <c r="J58" s="69">
        <f t="shared" si="24"/>
        <v>0</v>
      </c>
      <c r="K58" s="69">
        <f t="shared" si="24"/>
        <v>0</v>
      </c>
      <c r="L58" s="69">
        <f t="shared" si="24"/>
        <v>0</v>
      </c>
      <c r="M58" s="69">
        <f t="shared" si="24"/>
        <v>0</v>
      </c>
      <c r="N58" s="69">
        <f t="shared" si="24"/>
        <v>0</v>
      </c>
    </row>
    <row r="59" spans="2:14" x14ac:dyDescent="0.2">
      <c r="B59" t="s">
        <v>194</v>
      </c>
      <c r="C59" s="69">
        <f>C53+C58</f>
        <v>257082.87471469305</v>
      </c>
      <c r="D59" s="69">
        <f t="shared" ref="D59:N59" si="25">D53+D58</f>
        <v>204649.87641397212</v>
      </c>
      <c r="E59" s="69">
        <f t="shared" si="25"/>
        <v>141569.33940399112</v>
      </c>
      <c r="F59" s="69">
        <f t="shared" si="25"/>
        <v>79362.11582719069</v>
      </c>
      <c r="G59" s="69">
        <f t="shared" si="25"/>
        <v>29307.75205021631</v>
      </c>
      <c r="H59" s="69">
        <f t="shared" si="25"/>
        <v>0</v>
      </c>
      <c r="I59" s="69">
        <f t="shared" si="25"/>
        <v>-4289.7007060772739</v>
      </c>
      <c r="J59" s="69">
        <f t="shared" si="25"/>
        <v>15896.238390518352</v>
      </c>
      <c r="K59" s="69">
        <f t="shared" si="25"/>
        <v>55826.615745919291</v>
      </c>
      <c r="L59" s="69">
        <f t="shared" si="25"/>
        <v>108001.57509483956</v>
      </c>
      <c r="M59" s="69">
        <f t="shared" si="25"/>
        <v>163902.49012766033</v>
      </c>
      <c r="N59" s="69">
        <f t="shared" si="25"/>
        <v>215621.31575247319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9"/>
  <dimension ref="A3:Q59"/>
  <sheetViews>
    <sheetView topLeftCell="A7" workbookViewId="0">
      <selection activeCell="P47" sqref="P47"/>
    </sheetView>
  </sheetViews>
  <sheetFormatPr defaultRowHeight="12.75" x14ac:dyDescent="0.2"/>
  <cols>
    <col min="2" max="2" width="13.5703125" bestFit="1" customWidth="1"/>
    <col min="3" max="10" width="9.7109375" bestFit="1" customWidth="1"/>
    <col min="11" max="14" width="10.7109375" bestFit="1" customWidth="1"/>
  </cols>
  <sheetData>
    <row r="3" spans="1:17" x14ac:dyDescent="0.2">
      <c r="C3" t="s">
        <v>95</v>
      </c>
      <c r="D3" t="s">
        <v>95</v>
      </c>
      <c r="E3" t="s">
        <v>95</v>
      </c>
      <c r="F3" t="s">
        <v>95</v>
      </c>
      <c r="G3" t="s">
        <v>95</v>
      </c>
      <c r="H3" t="s">
        <v>95</v>
      </c>
      <c r="I3" t="s">
        <v>95</v>
      </c>
      <c r="J3" t="s">
        <v>95</v>
      </c>
      <c r="K3" t="s">
        <v>95</v>
      </c>
      <c r="L3" t="s">
        <v>95</v>
      </c>
      <c r="M3" t="s">
        <v>95</v>
      </c>
      <c r="N3" t="s">
        <v>95</v>
      </c>
      <c r="Q3" t="s">
        <v>232</v>
      </c>
    </row>
    <row r="4" spans="1:17" x14ac:dyDescent="0.2">
      <c r="B4" t="s">
        <v>142</v>
      </c>
      <c r="C4" t="s">
        <v>186</v>
      </c>
      <c r="D4" t="s">
        <v>186</v>
      </c>
      <c r="E4" t="s">
        <v>186</v>
      </c>
      <c r="F4" t="s">
        <v>186</v>
      </c>
      <c r="G4" t="s">
        <v>186</v>
      </c>
      <c r="H4" t="s">
        <v>186</v>
      </c>
      <c r="I4" t="s">
        <v>186</v>
      </c>
      <c r="J4" t="s">
        <v>186</v>
      </c>
      <c r="K4" t="s">
        <v>186</v>
      </c>
      <c r="L4" t="s">
        <v>186</v>
      </c>
      <c r="M4" t="s">
        <v>186</v>
      </c>
      <c r="N4" t="s">
        <v>186</v>
      </c>
    </row>
    <row r="5" spans="1:17" x14ac:dyDescent="0.2">
      <c r="B5" t="s">
        <v>63</v>
      </c>
      <c r="C5" s="61">
        <v>41340</v>
      </c>
      <c r="D5" s="61">
        <v>41340</v>
      </c>
      <c r="E5" s="61">
        <v>41340</v>
      </c>
      <c r="F5" s="61">
        <v>41340</v>
      </c>
      <c r="G5" s="61">
        <v>41340</v>
      </c>
      <c r="H5" s="61">
        <v>41340</v>
      </c>
      <c r="I5" s="61">
        <v>41340</v>
      </c>
      <c r="J5" s="61">
        <v>41340</v>
      </c>
      <c r="K5" s="61">
        <v>41340</v>
      </c>
      <c r="L5" s="61">
        <v>41340</v>
      </c>
      <c r="M5" s="61">
        <v>41340</v>
      </c>
      <c r="N5" s="61">
        <v>41340</v>
      </c>
    </row>
    <row r="6" spans="1:17" x14ac:dyDescent="0.2">
      <c r="B6" t="s">
        <v>64</v>
      </c>
      <c r="C6" s="61">
        <v>41430</v>
      </c>
      <c r="D6" s="61">
        <f>C6</f>
        <v>41430</v>
      </c>
      <c r="E6" s="61">
        <f t="shared" ref="E6:N7" si="0">D6</f>
        <v>41430</v>
      </c>
      <c r="F6" s="61">
        <f t="shared" si="0"/>
        <v>41430</v>
      </c>
      <c r="G6" s="61">
        <f t="shared" si="0"/>
        <v>41430</v>
      </c>
      <c r="H6" s="61">
        <f t="shared" si="0"/>
        <v>41430</v>
      </c>
      <c r="I6" s="61">
        <f t="shared" si="0"/>
        <v>41430</v>
      </c>
      <c r="J6" s="61">
        <f t="shared" si="0"/>
        <v>41430</v>
      </c>
      <c r="K6" s="61">
        <f t="shared" si="0"/>
        <v>41430</v>
      </c>
      <c r="L6" s="61">
        <f t="shared" si="0"/>
        <v>41430</v>
      </c>
      <c r="M6" s="61">
        <f t="shared" si="0"/>
        <v>41430</v>
      </c>
      <c r="N6" s="61">
        <f t="shared" si="0"/>
        <v>41430</v>
      </c>
    </row>
    <row r="7" spans="1:17" x14ac:dyDescent="0.2">
      <c r="B7" t="s">
        <v>65</v>
      </c>
      <c r="C7" s="57">
        <f>RKO!H65</f>
        <v>109.86446712647293</v>
      </c>
      <c r="D7" s="57">
        <f>C7</f>
        <v>109.86446712647293</v>
      </c>
      <c r="E7" s="57">
        <f t="shared" si="0"/>
        <v>109.86446712647293</v>
      </c>
      <c r="F7" s="57">
        <f t="shared" si="0"/>
        <v>109.86446712647293</v>
      </c>
      <c r="G7" s="57">
        <f t="shared" si="0"/>
        <v>109.86446712647293</v>
      </c>
      <c r="H7" s="57">
        <f t="shared" si="0"/>
        <v>109.86446712647293</v>
      </c>
      <c r="I7" s="57">
        <f t="shared" si="0"/>
        <v>109.86446712647293</v>
      </c>
      <c r="J7" s="57">
        <f t="shared" si="0"/>
        <v>109.86446712647293</v>
      </c>
      <c r="K7" s="57">
        <f t="shared" si="0"/>
        <v>109.86446712647293</v>
      </c>
      <c r="L7" s="57">
        <f t="shared" si="0"/>
        <v>109.86446712647293</v>
      </c>
      <c r="M7" s="57">
        <f t="shared" si="0"/>
        <v>109.86446712647293</v>
      </c>
      <c r="N7" s="57">
        <f t="shared" si="0"/>
        <v>109.86446712647293</v>
      </c>
    </row>
    <row r="8" spans="1:17" x14ac:dyDescent="0.2">
      <c r="A8">
        <v>5</v>
      </c>
      <c r="B8" t="s">
        <v>66</v>
      </c>
      <c r="C8" s="57">
        <v>80</v>
      </c>
      <c r="D8" s="57">
        <f>C8+$A$8</f>
        <v>85</v>
      </c>
      <c r="E8" s="57">
        <f t="shared" ref="E8:N8" si="1">D8+$A$8</f>
        <v>90</v>
      </c>
      <c r="F8" s="57">
        <f t="shared" si="1"/>
        <v>95</v>
      </c>
      <c r="G8" s="57">
        <f t="shared" si="1"/>
        <v>100</v>
      </c>
      <c r="H8" s="57">
        <f t="shared" si="1"/>
        <v>105</v>
      </c>
      <c r="I8" s="57">
        <f t="shared" si="1"/>
        <v>110</v>
      </c>
      <c r="J8" s="57">
        <f t="shared" si="1"/>
        <v>115</v>
      </c>
      <c r="K8" s="57">
        <f t="shared" si="1"/>
        <v>120</v>
      </c>
      <c r="L8" s="57">
        <f t="shared" si="1"/>
        <v>125</v>
      </c>
      <c r="M8" s="57">
        <f t="shared" si="1"/>
        <v>130</v>
      </c>
      <c r="N8" s="57">
        <f t="shared" si="1"/>
        <v>135</v>
      </c>
    </row>
    <row r="9" spans="1:17" x14ac:dyDescent="0.2">
      <c r="B9" t="s">
        <v>67</v>
      </c>
      <c r="C9" s="57">
        <f>C8</f>
        <v>80</v>
      </c>
      <c r="D9" s="57">
        <f t="shared" ref="D9:N9" si="2">D8</f>
        <v>85</v>
      </c>
      <c r="E9" s="57">
        <f t="shared" si="2"/>
        <v>90</v>
      </c>
      <c r="F9" s="57">
        <f t="shared" si="2"/>
        <v>95</v>
      </c>
      <c r="G9" s="57">
        <f t="shared" si="2"/>
        <v>100</v>
      </c>
      <c r="H9" s="57">
        <f t="shared" si="2"/>
        <v>105</v>
      </c>
      <c r="I9" s="57">
        <f t="shared" si="2"/>
        <v>110</v>
      </c>
      <c r="J9" s="57">
        <f t="shared" si="2"/>
        <v>115</v>
      </c>
      <c r="K9" s="57">
        <f t="shared" si="2"/>
        <v>120</v>
      </c>
      <c r="L9" s="57">
        <f t="shared" si="2"/>
        <v>125</v>
      </c>
      <c r="M9" s="57">
        <f t="shared" si="2"/>
        <v>130</v>
      </c>
      <c r="N9" s="57">
        <f t="shared" si="2"/>
        <v>135</v>
      </c>
    </row>
    <row r="10" spans="1:17" x14ac:dyDescent="0.2">
      <c r="B10" t="s">
        <v>143</v>
      </c>
      <c r="C10" s="55">
        <v>0.05</v>
      </c>
      <c r="D10" s="55">
        <v>0.05</v>
      </c>
      <c r="E10" s="55">
        <v>0.05</v>
      </c>
      <c r="F10" s="55">
        <v>0.05</v>
      </c>
      <c r="G10" s="55">
        <v>0.05</v>
      </c>
      <c r="H10" s="55">
        <v>0.05</v>
      </c>
      <c r="I10" s="55">
        <v>0.05</v>
      </c>
      <c r="J10" s="55">
        <v>0.05</v>
      </c>
      <c r="K10" s="55">
        <v>0.05</v>
      </c>
      <c r="L10" s="55">
        <v>0.05</v>
      </c>
      <c r="M10" s="55">
        <v>0.05</v>
      </c>
      <c r="N10" s="55">
        <v>0.05</v>
      </c>
    </row>
    <row r="11" spans="1:17" x14ac:dyDescent="0.2">
      <c r="B11" t="s">
        <v>144</v>
      </c>
      <c r="C11" t="s">
        <v>53</v>
      </c>
      <c r="D11" t="s">
        <v>53</v>
      </c>
      <c r="E11" t="s">
        <v>53</v>
      </c>
      <c r="F11" t="s">
        <v>53</v>
      </c>
      <c r="G11" t="s">
        <v>53</v>
      </c>
      <c r="H11" t="s">
        <v>53</v>
      </c>
      <c r="I11" t="s">
        <v>53</v>
      </c>
      <c r="J11" t="s">
        <v>53</v>
      </c>
      <c r="K11" t="s">
        <v>53</v>
      </c>
      <c r="L11" t="s">
        <v>53</v>
      </c>
      <c r="M11" t="s">
        <v>53</v>
      </c>
      <c r="N11" t="s">
        <v>53</v>
      </c>
    </row>
    <row r="12" spans="1:17" x14ac:dyDescent="0.2">
      <c r="B12" t="s">
        <v>145</v>
      </c>
      <c r="C12" s="54">
        <v>0.2</v>
      </c>
      <c r="D12" s="54">
        <v>0.2</v>
      </c>
      <c r="E12" s="54">
        <v>0.2</v>
      </c>
      <c r="F12" s="54">
        <v>0.2</v>
      </c>
      <c r="G12" s="54">
        <v>0.2</v>
      </c>
      <c r="H12" s="54">
        <v>0.2</v>
      </c>
      <c r="I12" s="54">
        <v>0.2</v>
      </c>
      <c r="J12" s="54">
        <v>0.2</v>
      </c>
      <c r="K12" s="54">
        <v>0.2</v>
      </c>
      <c r="L12" s="54">
        <v>0.2</v>
      </c>
      <c r="M12" s="54">
        <v>0.2</v>
      </c>
      <c r="N12" s="54">
        <v>0.2</v>
      </c>
    </row>
    <row r="13" spans="1:17" x14ac:dyDescent="0.2">
      <c r="B13" t="s">
        <v>147</v>
      </c>
      <c r="C13" t="s">
        <v>159</v>
      </c>
      <c r="D13" t="s">
        <v>159</v>
      </c>
      <c r="E13" t="s">
        <v>159</v>
      </c>
      <c r="F13" t="s">
        <v>159</v>
      </c>
      <c r="G13" t="s">
        <v>159</v>
      </c>
      <c r="H13" t="s">
        <v>159</v>
      </c>
      <c r="I13" t="s">
        <v>159</v>
      </c>
      <c r="J13" t="s">
        <v>159</v>
      </c>
      <c r="K13" t="s">
        <v>159</v>
      </c>
      <c r="L13" t="s">
        <v>159</v>
      </c>
      <c r="M13" t="s">
        <v>159</v>
      </c>
      <c r="N13" t="s">
        <v>159</v>
      </c>
    </row>
    <row r="14" spans="1:17" x14ac:dyDescent="0.2">
      <c r="B14" t="s">
        <v>138</v>
      </c>
      <c r="C14" s="58">
        <f t="shared" ref="C14:N14" si="3">Vanilla(C3,C4,C5,C6,C7,C8,C9,C10,C11,C12,$B14,C13)</f>
        <v>8.0013709844702985E-4</v>
      </c>
      <c r="D14" s="58">
        <f t="shared" si="3"/>
        <v>5.3976139029167629E-3</v>
      </c>
      <c r="E14" s="58">
        <f t="shared" si="3"/>
        <v>2.3881763971439585E-2</v>
      </c>
      <c r="F14" s="58">
        <f t="shared" si="3"/>
        <v>7.4361235821635244E-2</v>
      </c>
      <c r="G14" s="58">
        <f t="shared" si="3"/>
        <v>0.17300595101803973</v>
      </c>
      <c r="H14" s="58">
        <f t="shared" si="3"/>
        <v>0.31687588393094263</v>
      </c>
      <c r="I14" s="58">
        <f t="shared" si="3"/>
        <v>0.47869735708671451</v>
      </c>
      <c r="J14" s="58">
        <f t="shared" si="3"/>
        <v>0.62218257320989845</v>
      </c>
      <c r="K14" s="58">
        <f t="shared" si="3"/>
        <v>0.72289439592098892</v>
      </c>
      <c r="L14" s="58">
        <f t="shared" si="3"/>
        <v>0.77655724725982744</v>
      </c>
      <c r="M14" s="58">
        <f t="shared" si="3"/>
        <v>0.79316204849679084</v>
      </c>
      <c r="N14" s="58">
        <f t="shared" si="3"/>
        <v>0.78674692671107582</v>
      </c>
    </row>
    <row r="15" spans="1:17" x14ac:dyDescent="0.2">
      <c r="B15" t="s">
        <v>158</v>
      </c>
      <c r="C15" s="58">
        <f t="shared" ref="C15:N15" si="4">Vanilla(C3,C4,C5,C6,C7,C8,C9,C10,C11,C12,$B15,C13)</f>
        <v>1.3946834866770461E-5</v>
      </c>
      <c r="D15" s="58">
        <f t="shared" si="4"/>
        <v>7.8922820720936458E-5</v>
      </c>
      <c r="E15" s="58">
        <f t="shared" si="4"/>
        <v>2.8752271985307896E-4</v>
      </c>
      <c r="F15" s="58">
        <f t="shared" si="4"/>
        <v>7.2007568937966558E-4</v>
      </c>
      <c r="G15" s="58">
        <f t="shared" si="4"/>
        <v>1.308115044396798E-3</v>
      </c>
      <c r="H15" s="82">
        <f t="shared" si="4"/>
        <v>1.8019957054104122E-3</v>
      </c>
      <c r="I15" s="58">
        <f t="shared" si="4"/>
        <v>1.9533155569944195E-3</v>
      </c>
      <c r="J15" s="58">
        <f t="shared" si="4"/>
        <v>1.7187129212158595E-3</v>
      </c>
      <c r="K15" s="58">
        <f t="shared" si="4"/>
        <v>1.2602870250183324E-3</v>
      </c>
      <c r="L15" s="58">
        <f t="shared" si="4"/>
        <v>7.8758469833489471E-4</v>
      </c>
      <c r="M15" s="58">
        <f t="shared" si="4"/>
        <v>4.2758000733212655E-4</v>
      </c>
      <c r="N15" s="58">
        <f t="shared" si="4"/>
        <v>2.050233532721051E-4</v>
      </c>
    </row>
    <row r="16" spans="1:17" x14ac:dyDescent="0.2">
      <c r="B16" t="s">
        <v>137</v>
      </c>
      <c r="C16" s="58">
        <f t="shared" ref="C16:N16" si="5">Vanilla(C3,C4,C5,C6,C7,C8,C9,C10,C11,C12,$B16,C13)</f>
        <v>2.1723570915961379E-5</v>
      </c>
      <c r="D16" s="58">
        <f t="shared" si="5"/>
        <v>1.717490770783531E-4</v>
      </c>
      <c r="E16" s="58">
        <f t="shared" si="5"/>
        <v>8.9956643359028355E-4</v>
      </c>
      <c r="F16" s="58">
        <f t="shared" si="5"/>
        <v>3.3537682979473821E-3</v>
      </c>
      <c r="G16" s="58">
        <f t="shared" si="5"/>
        <v>9.4560640014123253E-3</v>
      </c>
      <c r="H16" s="58">
        <f t="shared" si="5"/>
        <v>2.1234739869341022E-2</v>
      </c>
      <c r="I16" s="58">
        <f t="shared" si="5"/>
        <v>3.9713216645849848E-2</v>
      </c>
      <c r="J16" s="58">
        <f t="shared" si="5"/>
        <v>6.4283975559206591E-2</v>
      </c>
      <c r="K16" s="58">
        <f t="shared" si="5"/>
        <v>9.3063483602227839E-2</v>
      </c>
      <c r="L16" s="58">
        <f t="shared" si="5"/>
        <v>0.12381000248209237</v>
      </c>
      <c r="M16" s="58">
        <f t="shared" si="5"/>
        <v>0.15468862373388234</v>
      </c>
      <c r="N16" s="58">
        <f t="shared" si="5"/>
        <v>0.18455443265447136</v>
      </c>
    </row>
    <row r="17" spans="2:14" x14ac:dyDescent="0.2">
      <c r="B17" s="65">
        <v>0</v>
      </c>
      <c r="C17" s="69">
        <f t="shared" ref="C17:N17" si="6">C15*$B17</f>
        <v>0</v>
      </c>
      <c r="D17" s="69">
        <f t="shared" si="6"/>
        <v>0</v>
      </c>
      <c r="E17" s="69">
        <f t="shared" si="6"/>
        <v>0</v>
      </c>
      <c r="F17" s="69">
        <f t="shared" si="6"/>
        <v>0</v>
      </c>
      <c r="G17" s="69">
        <f t="shared" si="6"/>
        <v>0</v>
      </c>
      <c r="H17" s="69">
        <f t="shared" si="6"/>
        <v>0</v>
      </c>
      <c r="I17" s="69">
        <f t="shared" si="6"/>
        <v>0</v>
      </c>
      <c r="J17" s="69">
        <f t="shared" si="6"/>
        <v>0</v>
      </c>
      <c r="K17" s="69">
        <f t="shared" si="6"/>
        <v>0</v>
      </c>
      <c r="L17" s="69">
        <f t="shared" si="6"/>
        <v>0</v>
      </c>
      <c r="M17" s="69">
        <f t="shared" si="6"/>
        <v>0</v>
      </c>
      <c r="N17" s="69">
        <f t="shared" si="6"/>
        <v>0</v>
      </c>
    </row>
    <row r="19" spans="2:14" x14ac:dyDescent="0.2">
      <c r="C19" t="s">
        <v>95</v>
      </c>
      <c r="D19" t="s">
        <v>95</v>
      </c>
      <c r="E19" t="s">
        <v>95</v>
      </c>
      <c r="F19" t="s">
        <v>95</v>
      </c>
      <c r="G19" t="s">
        <v>95</v>
      </c>
      <c r="H19" t="s">
        <v>95</v>
      </c>
      <c r="I19" t="s">
        <v>95</v>
      </c>
      <c r="J19" t="s">
        <v>95</v>
      </c>
      <c r="K19" t="s">
        <v>95</v>
      </c>
      <c r="L19" t="s">
        <v>95</v>
      </c>
      <c r="M19" t="s">
        <v>95</v>
      </c>
      <c r="N19" t="s">
        <v>95</v>
      </c>
    </row>
    <row r="20" spans="2:14" x14ac:dyDescent="0.2">
      <c r="B20" t="s">
        <v>142</v>
      </c>
      <c r="C20" t="s">
        <v>189</v>
      </c>
      <c r="D20" t="s">
        <v>189</v>
      </c>
      <c r="E20" t="s">
        <v>189</v>
      </c>
      <c r="F20" t="s">
        <v>189</v>
      </c>
      <c r="G20" t="s">
        <v>189</v>
      </c>
      <c r="H20" t="s">
        <v>189</v>
      </c>
      <c r="I20" t="s">
        <v>189</v>
      </c>
      <c r="J20" t="s">
        <v>189</v>
      </c>
      <c r="K20" t="s">
        <v>189</v>
      </c>
      <c r="L20" t="s">
        <v>189</v>
      </c>
      <c r="M20" t="s">
        <v>189</v>
      </c>
      <c r="N20" t="s">
        <v>189</v>
      </c>
    </row>
    <row r="21" spans="2:14" x14ac:dyDescent="0.2">
      <c r="B21" t="s">
        <v>63</v>
      </c>
      <c r="C21" s="61">
        <v>41340</v>
      </c>
      <c r="D21" s="61">
        <v>41340</v>
      </c>
      <c r="E21" s="61">
        <v>41340</v>
      </c>
      <c r="F21" s="61">
        <v>41340</v>
      </c>
      <c r="G21" s="61">
        <v>41340</v>
      </c>
      <c r="H21" s="61">
        <v>41340</v>
      </c>
      <c r="I21" s="61">
        <v>41340</v>
      </c>
      <c r="J21" s="61">
        <v>41340</v>
      </c>
      <c r="K21" s="61">
        <v>41340</v>
      </c>
      <c r="L21" s="61">
        <v>41340</v>
      </c>
      <c r="M21" s="61">
        <v>41340</v>
      </c>
      <c r="N21" s="61">
        <v>41340</v>
      </c>
    </row>
    <row r="22" spans="2:14" x14ac:dyDescent="0.2">
      <c r="B22" t="s">
        <v>64</v>
      </c>
      <c r="C22" s="61">
        <f>C38</f>
        <v>41430</v>
      </c>
      <c r="D22" s="61">
        <f>C22</f>
        <v>41430</v>
      </c>
      <c r="E22" s="61">
        <f t="shared" ref="E22:N22" si="7">D22</f>
        <v>41430</v>
      </c>
      <c r="F22" s="61">
        <f t="shared" si="7"/>
        <v>41430</v>
      </c>
      <c r="G22" s="61">
        <f t="shared" si="7"/>
        <v>41430</v>
      </c>
      <c r="H22" s="61">
        <f t="shared" si="7"/>
        <v>41430</v>
      </c>
      <c r="I22" s="61">
        <f t="shared" si="7"/>
        <v>41430</v>
      </c>
      <c r="J22" s="61">
        <f t="shared" si="7"/>
        <v>41430</v>
      </c>
      <c r="K22" s="61">
        <f t="shared" si="7"/>
        <v>41430</v>
      </c>
      <c r="L22" s="61">
        <f t="shared" si="7"/>
        <v>41430</v>
      </c>
      <c r="M22" s="61">
        <f t="shared" si="7"/>
        <v>41430</v>
      </c>
      <c r="N22" s="61">
        <f t="shared" si="7"/>
        <v>41430</v>
      </c>
    </row>
    <row r="23" spans="2:14" x14ac:dyDescent="0.2">
      <c r="B23" t="s">
        <v>65</v>
      </c>
      <c r="C23" s="62">
        <f>RKO!C23</f>
        <v>105.99812308472085</v>
      </c>
      <c r="D23" s="62">
        <f t="shared" ref="D23:N23" si="8">$C$23</f>
        <v>105.99812308472085</v>
      </c>
      <c r="E23" s="62">
        <f t="shared" si="8"/>
        <v>105.99812308472085</v>
      </c>
      <c r="F23" s="62">
        <f t="shared" si="8"/>
        <v>105.99812308472085</v>
      </c>
      <c r="G23" s="62">
        <f t="shared" si="8"/>
        <v>105.99812308472085</v>
      </c>
      <c r="H23" s="62">
        <f t="shared" si="8"/>
        <v>105.99812308472085</v>
      </c>
      <c r="I23" s="62">
        <f t="shared" si="8"/>
        <v>105.99812308472085</v>
      </c>
      <c r="J23" s="62">
        <f t="shared" si="8"/>
        <v>105.99812308472085</v>
      </c>
      <c r="K23" s="62">
        <f t="shared" si="8"/>
        <v>105.99812308472085</v>
      </c>
      <c r="L23" s="62">
        <f t="shared" si="8"/>
        <v>105.99812308472085</v>
      </c>
      <c r="M23" s="62">
        <f t="shared" si="8"/>
        <v>105.99812308472085</v>
      </c>
      <c r="N23" s="62">
        <f t="shared" si="8"/>
        <v>105.99812308472085</v>
      </c>
    </row>
    <row r="24" spans="2:14" x14ac:dyDescent="0.2">
      <c r="B24" t="s">
        <v>66</v>
      </c>
      <c r="C24" s="62">
        <f t="shared" ref="C24:N24" si="9">C8</f>
        <v>80</v>
      </c>
      <c r="D24" s="62">
        <f t="shared" si="9"/>
        <v>85</v>
      </c>
      <c r="E24" s="62">
        <f t="shared" si="9"/>
        <v>90</v>
      </c>
      <c r="F24" s="62">
        <f t="shared" si="9"/>
        <v>95</v>
      </c>
      <c r="G24" s="62">
        <f t="shared" si="9"/>
        <v>100</v>
      </c>
      <c r="H24" s="62">
        <f t="shared" si="9"/>
        <v>105</v>
      </c>
      <c r="I24" s="62">
        <f t="shared" si="9"/>
        <v>110</v>
      </c>
      <c r="J24" s="62">
        <f t="shared" si="9"/>
        <v>115</v>
      </c>
      <c r="K24" s="62">
        <f t="shared" si="9"/>
        <v>120</v>
      </c>
      <c r="L24" s="62">
        <f t="shared" si="9"/>
        <v>125</v>
      </c>
      <c r="M24" s="62">
        <f t="shared" si="9"/>
        <v>130</v>
      </c>
      <c r="N24" s="62">
        <f t="shared" si="9"/>
        <v>135</v>
      </c>
    </row>
    <row r="25" spans="2:14" x14ac:dyDescent="0.2">
      <c r="B25" t="s">
        <v>67</v>
      </c>
      <c r="C25" s="57">
        <f>C24</f>
        <v>80</v>
      </c>
      <c r="D25" s="57">
        <f t="shared" ref="D25:N25" si="10">D24</f>
        <v>85</v>
      </c>
      <c r="E25" s="57">
        <f t="shared" si="10"/>
        <v>90</v>
      </c>
      <c r="F25" s="57">
        <f t="shared" si="10"/>
        <v>95</v>
      </c>
      <c r="G25" s="57">
        <f t="shared" si="10"/>
        <v>100</v>
      </c>
      <c r="H25" s="57">
        <f t="shared" si="10"/>
        <v>105</v>
      </c>
      <c r="I25" s="57">
        <f t="shared" si="10"/>
        <v>110</v>
      </c>
      <c r="J25" s="57">
        <f t="shared" si="10"/>
        <v>115</v>
      </c>
      <c r="K25" s="57">
        <f t="shared" si="10"/>
        <v>120</v>
      </c>
      <c r="L25" s="57">
        <f t="shared" si="10"/>
        <v>125</v>
      </c>
      <c r="M25" s="57">
        <f t="shared" si="10"/>
        <v>130</v>
      </c>
      <c r="N25" s="57">
        <f t="shared" si="10"/>
        <v>135</v>
      </c>
    </row>
    <row r="26" spans="2:14" x14ac:dyDescent="0.2">
      <c r="B26" t="s">
        <v>143</v>
      </c>
      <c r="C26" s="55">
        <v>0.05</v>
      </c>
      <c r="D26" s="55">
        <v>0.05</v>
      </c>
      <c r="E26" s="55">
        <v>0.05</v>
      </c>
      <c r="F26" s="55">
        <v>0.05</v>
      </c>
      <c r="G26" s="55">
        <v>0.05</v>
      </c>
      <c r="H26" s="55">
        <v>0.05</v>
      </c>
      <c r="I26" s="55">
        <v>0.05</v>
      </c>
      <c r="J26" s="55">
        <v>0.05</v>
      </c>
      <c r="K26" s="55">
        <v>0.05</v>
      </c>
      <c r="L26" s="55">
        <v>0.05</v>
      </c>
      <c r="M26" s="55">
        <v>0.05</v>
      </c>
      <c r="N26" s="55">
        <v>0.05</v>
      </c>
    </row>
    <row r="27" spans="2:14" x14ac:dyDescent="0.2">
      <c r="B27" t="s">
        <v>144</v>
      </c>
      <c r="C27" t="s">
        <v>53</v>
      </c>
      <c r="D27" t="s">
        <v>53</v>
      </c>
      <c r="E27" t="s">
        <v>53</v>
      </c>
      <c r="F27" t="s">
        <v>53</v>
      </c>
      <c r="G27" t="s">
        <v>53</v>
      </c>
      <c r="H27" t="s">
        <v>53</v>
      </c>
      <c r="I27" t="s">
        <v>53</v>
      </c>
      <c r="J27" t="s">
        <v>53</v>
      </c>
      <c r="K27" t="s">
        <v>53</v>
      </c>
      <c r="L27" t="s">
        <v>53</v>
      </c>
      <c r="M27" t="s">
        <v>53</v>
      </c>
      <c r="N27" t="s">
        <v>53</v>
      </c>
    </row>
    <row r="28" spans="2:14" x14ac:dyDescent="0.2">
      <c r="B28" t="s">
        <v>145</v>
      </c>
      <c r="C28" s="54">
        <v>0.21</v>
      </c>
      <c r="D28" s="54">
        <v>0.21</v>
      </c>
      <c r="E28" s="54">
        <v>0.21</v>
      </c>
      <c r="F28" s="54">
        <v>0.21</v>
      </c>
      <c r="G28" s="54">
        <v>0.21</v>
      </c>
      <c r="H28" s="54">
        <v>0.21</v>
      </c>
      <c r="I28" s="54">
        <v>0.21</v>
      </c>
      <c r="J28" s="54">
        <v>0.21</v>
      </c>
      <c r="K28" s="54">
        <v>0.21</v>
      </c>
      <c r="L28" s="54">
        <v>0.21</v>
      </c>
      <c r="M28" s="54">
        <v>0.21</v>
      </c>
      <c r="N28" s="54">
        <v>0.21</v>
      </c>
    </row>
    <row r="29" spans="2:14" x14ac:dyDescent="0.2">
      <c r="B29" t="s">
        <v>147</v>
      </c>
      <c r="C29" t="s">
        <v>159</v>
      </c>
      <c r="D29" t="s">
        <v>159</v>
      </c>
      <c r="E29" t="s">
        <v>159</v>
      </c>
      <c r="F29" t="s">
        <v>159</v>
      </c>
      <c r="G29" t="s">
        <v>159</v>
      </c>
      <c r="H29" t="s">
        <v>159</v>
      </c>
      <c r="I29" t="s">
        <v>159</v>
      </c>
      <c r="J29" t="s">
        <v>159</v>
      </c>
      <c r="K29" t="s">
        <v>159</v>
      </c>
      <c r="L29" t="s">
        <v>159</v>
      </c>
      <c r="M29" t="s">
        <v>159</v>
      </c>
      <c r="N29" t="s">
        <v>159</v>
      </c>
    </row>
    <row r="30" spans="2:14" x14ac:dyDescent="0.2">
      <c r="B30" t="s">
        <v>138</v>
      </c>
      <c r="C30" s="58">
        <f t="shared" ref="C30:N30" si="11">Vanilla(C19,C20,C21,C22,C23,C24,C25,C26,C27,C28,$B30,C29)</f>
        <v>-1.3050849640072546</v>
      </c>
      <c r="D30" s="58">
        <f t="shared" si="11"/>
        <v>-1.213460945596355</v>
      </c>
      <c r="E30" s="58">
        <f t="shared" si="11"/>
        <v>-1.1024562046446604</v>
      </c>
      <c r="F30" s="58">
        <f t="shared" si="11"/>
        <v>-0.95338590017799718</v>
      </c>
      <c r="G30" s="58">
        <f t="shared" si="11"/>
        <v>-0.7637290428968625</v>
      </c>
      <c r="H30" s="58">
        <f t="shared" si="11"/>
        <v>-0.5553085795535454</v>
      </c>
      <c r="I30" s="58">
        <f t="shared" si="11"/>
        <v>-0.3625642780024157</v>
      </c>
      <c r="J30" s="58">
        <f t="shared" si="11"/>
        <v>-0.21202248893924461</v>
      </c>
      <c r="K30" s="58">
        <f t="shared" si="11"/>
        <v>-0.11137757110347031</v>
      </c>
      <c r="L30" s="58">
        <f t="shared" si="11"/>
        <v>-5.2875054376084307E-2</v>
      </c>
      <c r="M30" s="58">
        <f t="shared" si="11"/>
        <v>-2.2855857402768787E-2</v>
      </c>
      <c r="N30" s="58">
        <f t="shared" si="11"/>
        <v>-9.0678080593886747E-3</v>
      </c>
    </row>
    <row r="31" spans="2:14" x14ac:dyDescent="0.2">
      <c r="B31" t="s">
        <v>158</v>
      </c>
      <c r="C31" s="58">
        <f t="shared" ref="C31:N31" si="12">Vanilla(C19,C20,C21,C22,C23,C24,C25,C26,C27,C28,$B31,C29)</f>
        <v>5.9004045503182012E-5</v>
      </c>
      <c r="D31" s="58">
        <f t="shared" si="12"/>
        <v>2.3209103247299356E-4</v>
      </c>
      <c r="E31" s="58">
        <f t="shared" si="12"/>
        <v>6.1942463947719931E-4</v>
      </c>
      <c r="F31" s="58">
        <f t="shared" si="12"/>
        <v>1.1889748669497427E-3</v>
      </c>
      <c r="G31" s="58">
        <f t="shared" si="12"/>
        <v>1.7215015263003799E-3</v>
      </c>
      <c r="H31" s="82">
        <f t="shared" si="12"/>
        <v>1.9556253391308318E-3</v>
      </c>
      <c r="I31" s="58">
        <f t="shared" si="12"/>
        <v>1.8011341161041606E-3</v>
      </c>
      <c r="J31" s="58">
        <f t="shared" si="12"/>
        <v>1.3824258228563213E-3</v>
      </c>
      <c r="K31" s="58">
        <f t="shared" si="12"/>
        <v>9.050621341957295E-4</v>
      </c>
      <c r="L31" s="58">
        <f t="shared" si="12"/>
        <v>5.1552972709767106E-4</v>
      </c>
      <c r="M31" s="58">
        <f t="shared" si="12"/>
        <v>2.598520149066088E-4</v>
      </c>
      <c r="N31" s="58">
        <f t="shared" si="12"/>
        <v>1.17605241321185E-4</v>
      </c>
    </row>
    <row r="32" spans="2:14" x14ac:dyDescent="0.2">
      <c r="B32" t="s">
        <v>137</v>
      </c>
      <c r="C32" s="58">
        <f t="shared" ref="C32:N32" si="13">Vanilla(C19,C20,C21,C22,C23,C24,C25,C26,C27,C28,$B32,C29)</f>
        <v>0.32117871586568791</v>
      </c>
      <c r="D32" s="58">
        <f t="shared" si="13"/>
        <v>0.24476276395017518</v>
      </c>
      <c r="E32" s="58">
        <f t="shared" si="13"/>
        <v>0.17840234436084954</v>
      </c>
      <c r="F32" s="58">
        <f t="shared" si="13"/>
        <v>0.12259203646769151</v>
      </c>
      <c r="G32" s="58">
        <f t="shared" si="13"/>
        <v>7.8367820663530874E-2</v>
      </c>
      <c r="H32" s="58">
        <f t="shared" si="13"/>
        <v>4.6140513625860469E-2</v>
      </c>
      <c r="I32" s="58">
        <f t="shared" si="13"/>
        <v>2.4880036473471024E-2</v>
      </c>
      <c r="J32" s="58">
        <f t="shared" si="13"/>
        <v>1.2268342157088297E-2</v>
      </c>
      <c r="K32" s="58">
        <f t="shared" si="13"/>
        <v>5.5415269084400105E-3</v>
      </c>
      <c r="L32" s="58">
        <f t="shared" si="13"/>
        <v>2.3018363913066349E-3</v>
      </c>
      <c r="M32" s="58">
        <f t="shared" si="13"/>
        <v>8.8378963623998177E-4</v>
      </c>
      <c r="N32" s="58">
        <f t="shared" si="13"/>
        <v>3.1545853834085319E-4</v>
      </c>
    </row>
    <row r="33" spans="2:14" x14ac:dyDescent="0.2">
      <c r="B33" s="65">
        <v>100000000</v>
      </c>
      <c r="C33" s="69">
        <f t="shared" ref="C33:N33" si="14">C31*$B33</f>
        <v>5900.4045503182015</v>
      </c>
      <c r="D33" s="69">
        <f t="shared" si="14"/>
        <v>23209.103247299357</v>
      </c>
      <c r="E33" s="69">
        <f t="shared" si="14"/>
        <v>61942.463947719931</v>
      </c>
      <c r="F33" s="69">
        <f t="shared" si="14"/>
        <v>118897.48669497427</v>
      </c>
      <c r="G33" s="69">
        <f t="shared" si="14"/>
        <v>172150.15263003798</v>
      </c>
      <c r="H33" s="69">
        <f t="shared" si="14"/>
        <v>195562.53391308317</v>
      </c>
      <c r="I33" s="69">
        <f t="shared" si="14"/>
        <v>180113.41161041605</v>
      </c>
      <c r="J33" s="69">
        <f t="shared" si="14"/>
        <v>138242.58228563215</v>
      </c>
      <c r="K33" s="69">
        <f t="shared" si="14"/>
        <v>90506.213419572945</v>
      </c>
      <c r="L33" s="69">
        <f t="shared" si="14"/>
        <v>51552.972709767106</v>
      </c>
      <c r="M33" s="69">
        <f t="shared" si="14"/>
        <v>25985.201490660882</v>
      </c>
      <c r="N33" s="69">
        <f t="shared" si="14"/>
        <v>11760.5241321185</v>
      </c>
    </row>
    <row r="35" spans="2:14" x14ac:dyDescent="0.2">
      <c r="C35" t="s">
        <v>95</v>
      </c>
      <c r="D35" t="s">
        <v>95</v>
      </c>
      <c r="E35" t="s">
        <v>95</v>
      </c>
      <c r="F35" t="s">
        <v>95</v>
      </c>
      <c r="G35" t="s">
        <v>95</v>
      </c>
      <c r="H35" t="s">
        <v>95</v>
      </c>
      <c r="I35" t="s">
        <v>95</v>
      </c>
      <c r="J35" t="s">
        <v>95</v>
      </c>
      <c r="K35" t="s">
        <v>95</v>
      </c>
      <c r="L35" t="s">
        <v>95</v>
      </c>
      <c r="M35" t="s">
        <v>95</v>
      </c>
      <c r="N35" t="s">
        <v>95</v>
      </c>
    </row>
    <row r="36" spans="2:14" x14ac:dyDescent="0.2">
      <c r="B36" t="s">
        <v>142</v>
      </c>
      <c r="C36" t="s">
        <v>186</v>
      </c>
      <c r="D36" t="s">
        <v>186</v>
      </c>
      <c r="E36" t="s">
        <v>186</v>
      </c>
      <c r="F36" t="s">
        <v>186</v>
      </c>
      <c r="G36" t="s">
        <v>186</v>
      </c>
      <c r="H36" t="s">
        <v>186</v>
      </c>
      <c r="I36" t="s">
        <v>186</v>
      </c>
      <c r="J36" t="s">
        <v>186</v>
      </c>
      <c r="K36" t="s">
        <v>186</v>
      </c>
      <c r="L36" t="s">
        <v>186</v>
      </c>
      <c r="M36" t="s">
        <v>186</v>
      </c>
      <c r="N36" t="s">
        <v>186</v>
      </c>
    </row>
    <row r="37" spans="2:14" x14ac:dyDescent="0.2">
      <c r="B37" t="s">
        <v>63</v>
      </c>
      <c r="C37" s="61">
        <v>41340</v>
      </c>
      <c r="D37" s="61">
        <v>41340</v>
      </c>
      <c r="E37" s="61">
        <v>41340</v>
      </c>
      <c r="F37" s="61">
        <v>41340</v>
      </c>
      <c r="G37" s="61">
        <v>41340</v>
      </c>
      <c r="H37" s="61">
        <v>41340</v>
      </c>
      <c r="I37" s="61">
        <v>41340</v>
      </c>
      <c r="J37" s="61">
        <v>41340</v>
      </c>
      <c r="K37" s="61">
        <v>41340</v>
      </c>
      <c r="L37" s="61">
        <v>41340</v>
      </c>
      <c r="M37" s="61">
        <v>41340</v>
      </c>
      <c r="N37" s="61">
        <v>41340</v>
      </c>
    </row>
    <row r="38" spans="2:14" x14ac:dyDescent="0.2">
      <c r="B38" t="s">
        <v>64</v>
      </c>
      <c r="C38" s="61">
        <v>41430</v>
      </c>
      <c r="D38" s="61">
        <f>C38</f>
        <v>41430</v>
      </c>
      <c r="E38" s="61">
        <f t="shared" ref="E38:N39" si="15">D38</f>
        <v>41430</v>
      </c>
      <c r="F38" s="61">
        <f t="shared" si="15"/>
        <v>41430</v>
      </c>
      <c r="G38" s="61">
        <f t="shared" si="15"/>
        <v>41430</v>
      </c>
      <c r="H38" s="61">
        <f t="shared" si="15"/>
        <v>41430</v>
      </c>
      <c r="I38" s="61">
        <f t="shared" si="15"/>
        <v>41430</v>
      </c>
      <c r="J38" s="61">
        <f t="shared" si="15"/>
        <v>41430</v>
      </c>
      <c r="K38" s="61">
        <f t="shared" si="15"/>
        <v>41430</v>
      </c>
      <c r="L38" s="61">
        <f t="shared" si="15"/>
        <v>41430</v>
      </c>
      <c r="M38" s="61">
        <f t="shared" si="15"/>
        <v>41430</v>
      </c>
      <c r="N38" s="61">
        <f t="shared" si="15"/>
        <v>41430</v>
      </c>
    </row>
    <row r="39" spans="2:14" x14ac:dyDescent="0.2">
      <c r="B39" t="s">
        <v>65</v>
      </c>
      <c r="C39" s="57">
        <f>RKO!C6</f>
        <v>113.98252701652383</v>
      </c>
      <c r="D39" s="62">
        <f>C39</f>
        <v>113.98252701652383</v>
      </c>
      <c r="E39" s="57">
        <f>D39</f>
        <v>113.98252701652383</v>
      </c>
      <c r="F39" s="57">
        <f t="shared" si="15"/>
        <v>113.98252701652383</v>
      </c>
      <c r="G39" s="57">
        <f t="shared" si="15"/>
        <v>113.98252701652383</v>
      </c>
      <c r="H39" s="57">
        <f t="shared" si="15"/>
        <v>113.98252701652383</v>
      </c>
      <c r="I39" s="57">
        <f t="shared" si="15"/>
        <v>113.98252701652383</v>
      </c>
      <c r="J39" s="57">
        <f t="shared" si="15"/>
        <v>113.98252701652383</v>
      </c>
      <c r="K39" s="57">
        <f t="shared" si="15"/>
        <v>113.98252701652383</v>
      </c>
      <c r="L39" s="57">
        <f t="shared" si="15"/>
        <v>113.98252701652383</v>
      </c>
      <c r="M39" s="57">
        <f t="shared" si="15"/>
        <v>113.98252701652383</v>
      </c>
      <c r="N39" s="57">
        <f t="shared" si="15"/>
        <v>113.98252701652383</v>
      </c>
    </row>
    <row r="40" spans="2:14" x14ac:dyDescent="0.2">
      <c r="B40" t="s">
        <v>66</v>
      </c>
      <c r="C40" s="57">
        <f t="shared" ref="C40:N40" si="16">C8</f>
        <v>80</v>
      </c>
      <c r="D40" s="57">
        <f t="shared" si="16"/>
        <v>85</v>
      </c>
      <c r="E40" s="57">
        <f t="shared" si="16"/>
        <v>90</v>
      </c>
      <c r="F40" s="57">
        <f t="shared" si="16"/>
        <v>95</v>
      </c>
      <c r="G40" s="57">
        <f t="shared" si="16"/>
        <v>100</v>
      </c>
      <c r="H40" s="57">
        <f t="shared" si="16"/>
        <v>105</v>
      </c>
      <c r="I40" s="57">
        <f t="shared" si="16"/>
        <v>110</v>
      </c>
      <c r="J40" s="57">
        <f t="shared" si="16"/>
        <v>115</v>
      </c>
      <c r="K40" s="57">
        <f t="shared" si="16"/>
        <v>120</v>
      </c>
      <c r="L40" s="57">
        <f t="shared" si="16"/>
        <v>125</v>
      </c>
      <c r="M40" s="57">
        <f t="shared" si="16"/>
        <v>130</v>
      </c>
      <c r="N40" s="57">
        <f t="shared" si="16"/>
        <v>135</v>
      </c>
    </row>
    <row r="41" spans="2:14" x14ac:dyDescent="0.2">
      <c r="B41" t="s">
        <v>67</v>
      </c>
      <c r="C41" s="57">
        <f>C40</f>
        <v>80</v>
      </c>
      <c r="D41" s="57">
        <f t="shared" ref="D41:N41" si="17">D40</f>
        <v>85</v>
      </c>
      <c r="E41" s="57">
        <f t="shared" si="17"/>
        <v>90</v>
      </c>
      <c r="F41" s="57">
        <f t="shared" si="17"/>
        <v>95</v>
      </c>
      <c r="G41" s="57">
        <f t="shared" si="17"/>
        <v>100</v>
      </c>
      <c r="H41" s="57">
        <f t="shared" si="17"/>
        <v>105</v>
      </c>
      <c r="I41" s="57">
        <f t="shared" si="17"/>
        <v>110</v>
      </c>
      <c r="J41" s="57">
        <f t="shared" si="17"/>
        <v>115</v>
      </c>
      <c r="K41" s="57">
        <f t="shared" si="17"/>
        <v>120</v>
      </c>
      <c r="L41" s="57">
        <f t="shared" si="17"/>
        <v>125</v>
      </c>
      <c r="M41" s="57">
        <f t="shared" si="17"/>
        <v>130</v>
      </c>
      <c r="N41" s="57">
        <f t="shared" si="17"/>
        <v>135</v>
      </c>
    </row>
    <row r="42" spans="2:14" x14ac:dyDescent="0.2">
      <c r="B42" t="s">
        <v>143</v>
      </c>
      <c r="C42" s="55">
        <v>0.05</v>
      </c>
      <c r="D42" s="55">
        <v>0.05</v>
      </c>
      <c r="E42" s="55">
        <v>0.05</v>
      </c>
      <c r="F42" s="55">
        <v>0.05</v>
      </c>
      <c r="G42" s="55">
        <v>0.05</v>
      </c>
      <c r="H42" s="55">
        <v>0.05</v>
      </c>
      <c r="I42" s="55">
        <v>0.05</v>
      </c>
      <c r="J42" s="55">
        <v>0.05</v>
      </c>
      <c r="K42" s="55">
        <v>0.05</v>
      </c>
      <c r="L42" s="55">
        <v>0.05</v>
      </c>
      <c r="M42" s="55">
        <v>0.05</v>
      </c>
      <c r="N42" s="55">
        <v>0.05</v>
      </c>
    </row>
    <row r="43" spans="2:14" x14ac:dyDescent="0.2">
      <c r="B43" t="s">
        <v>144</v>
      </c>
      <c r="C43" t="s">
        <v>53</v>
      </c>
      <c r="D43" t="s">
        <v>53</v>
      </c>
      <c r="E43" t="s">
        <v>53</v>
      </c>
      <c r="F43" t="s">
        <v>53</v>
      </c>
      <c r="G43" t="s">
        <v>53</v>
      </c>
      <c r="H43" t="s">
        <v>53</v>
      </c>
      <c r="I43" t="s">
        <v>53</v>
      </c>
      <c r="J43" t="s">
        <v>53</v>
      </c>
      <c r="K43" t="s">
        <v>53</v>
      </c>
      <c r="L43" t="s">
        <v>53</v>
      </c>
      <c r="M43" t="s">
        <v>53</v>
      </c>
      <c r="N43" t="s">
        <v>53</v>
      </c>
    </row>
    <row r="44" spans="2:14" x14ac:dyDescent="0.2">
      <c r="B44" t="s">
        <v>145</v>
      </c>
      <c r="C44" s="54">
        <v>0.21</v>
      </c>
      <c r="D44" s="54">
        <v>0.21</v>
      </c>
      <c r="E44" s="54">
        <v>0.21</v>
      </c>
      <c r="F44" s="54">
        <v>0.21</v>
      </c>
      <c r="G44" s="54">
        <v>0.21</v>
      </c>
      <c r="H44" s="54">
        <v>0.21</v>
      </c>
      <c r="I44" s="54">
        <v>0.21</v>
      </c>
      <c r="J44" s="54">
        <v>0.21</v>
      </c>
      <c r="K44" s="54">
        <v>0.21</v>
      </c>
      <c r="L44" s="54">
        <v>0.21</v>
      </c>
      <c r="M44" s="54">
        <v>0.21</v>
      </c>
      <c r="N44" s="54">
        <v>0.21</v>
      </c>
    </row>
    <row r="45" spans="2:14" x14ac:dyDescent="0.2">
      <c r="B45" t="s">
        <v>147</v>
      </c>
      <c r="C45" t="s">
        <v>159</v>
      </c>
      <c r="D45" t="s">
        <v>159</v>
      </c>
      <c r="E45" t="s">
        <v>159</v>
      </c>
      <c r="F45" t="s">
        <v>159</v>
      </c>
      <c r="G45" t="s">
        <v>159</v>
      </c>
      <c r="H45" t="s">
        <v>159</v>
      </c>
      <c r="I45" t="s">
        <v>159</v>
      </c>
      <c r="J45" t="s">
        <v>159</v>
      </c>
      <c r="K45" t="s">
        <v>159</v>
      </c>
      <c r="L45" t="s">
        <v>159</v>
      </c>
      <c r="M45" t="s">
        <v>159</v>
      </c>
      <c r="N45" t="s">
        <v>159</v>
      </c>
    </row>
    <row r="46" spans="2:14" x14ac:dyDescent="0.2">
      <c r="B46" t="s">
        <v>138</v>
      </c>
      <c r="C46" s="58">
        <f t="shared" ref="C46:N46" si="18">Vanilla(C35,C36,C37,C38,C39,C40,C41,C42,C43,C44,$B46,C45)</f>
        <v>3.988952531373504E-4</v>
      </c>
      <c r="D46" s="58">
        <f t="shared" si="18"/>
        <v>2.7561745310008818E-3</v>
      </c>
      <c r="E46" s="58">
        <f t="shared" si="18"/>
        <v>1.2807449077487367E-2</v>
      </c>
      <c r="F46" s="58">
        <f t="shared" si="18"/>
        <v>4.2675180645361827E-2</v>
      </c>
      <c r="G46" s="58">
        <f t="shared" si="18"/>
        <v>0.10762179819371404</v>
      </c>
      <c r="H46" s="58">
        <f t="shared" si="18"/>
        <v>0.21518275747987828</v>
      </c>
      <c r="I46" s="58">
        <f t="shared" si="18"/>
        <v>0.35531109772913827</v>
      </c>
      <c r="J46" s="58">
        <f t="shared" si="18"/>
        <v>0.50251399098625515</v>
      </c>
      <c r="K46" s="58">
        <f t="shared" si="18"/>
        <v>0.62916174626850574</v>
      </c>
      <c r="L46" s="58">
        <f t="shared" si="18"/>
        <v>0.71841909846084628</v>
      </c>
      <c r="M46" s="58">
        <f t="shared" si="18"/>
        <v>0.76800156578352741</v>
      </c>
      <c r="N46" s="58">
        <f t="shared" si="18"/>
        <v>0.78563843929977373</v>
      </c>
    </row>
    <row r="47" spans="2:14" x14ac:dyDescent="0.2">
      <c r="B47" t="s">
        <v>158</v>
      </c>
      <c r="C47" s="58">
        <f t="shared" ref="C47:N47" si="19">Vanilla(C35,C36,C37,C38,C39,C40,C41,C42,C43,C44,$B47,C45)</f>
        <v>7.3305978370717643E-6</v>
      </c>
      <c r="D47" s="58">
        <f t="shared" si="19"/>
        <v>4.3227339637422209E-5</v>
      </c>
      <c r="E47" s="58">
        <f t="shared" si="19"/>
        <v>1.6899637293768679E-4</v>
      </c>
      <c r="F47" s="58">
        <f t="shared" si="19"/>
        <v>4.6546206762468063E-4</v>
      </c>
      <c r="G47" s="58">
        <f t="shared" si="19"/>
        <v>9.4928349993837161E-4</v>
      </c>
      <c r="H47" s="82">
        <f t="shared" si="19"/>
        <v>1.4937940070111851E-3</v>
      </c>
      <c r="I47" s="58">
        <f t="shared" si="19"/>
        <v>1.8770811543215634E-3</v>
      </c>
      <c r="J47" s="58">
        <f t="shared" si="19"/>
        <v>1.9387052141670849E-3</v>
      </c>
      <c r="K47" s="58">
        <f t="shared" si="19"/>
        <v>1.6865261460671157E-3</v>
      </c>
      <c r="L47" s="58">
        <f t="shared" si="19"/>
        <v>1.2617495202057053E-3</v>
      </c>
      <c r="M47" s="58">
        <f t="shared" si="19"/>
        <v>8.2642935951687715E-4</v>
      </c>
      <c r="N47" s="58">
        <f t="shared" si="19"/>
        <v>4.8125212738009724E-4</v>
      </c>
    </row>
    <row r="48" spans="2:14" x14ac:dyDescent="0.2">
      <c r="B48" t="s">
        <v>137</v>
      </c>
      <c r="C48" s="58">
        <f t="shared" ref="C48:N48" si="20">Vanilla(C35,C36,C37,C38,C39,C40,C41,C42,C43,C44,$B48,C45)</f>
        <v>1.0842064942829887E-5</v>
      </c>
      <c r="D48" s="58">
        <f t="shared" si="20"/>
        <v>8.6614904068473805E-5</v>
      </c>
      <c r="E48" s="58">
        <f t="shared" si="20"/>
        <v>4.6896862752459327E-4</v>
      </c>
      <c r="F48" s="58">
        <f t="shared" si="20"/>
        <v>1.8371131206736491E-3</v>
      </c>
      <c r="G48" s="58">
        <f t="shared" si="20"/>
        <v>5.5002481414717476E-3</v>
      </c>
      <c r="H48" s="58">
        <f t="shared" si="20"/>
        <v>1.3186256843103187E-2</v>
      </c>
      <c r="I48" s="58">
        <f t="shared" si="20"/>
        <v>2.6346607625299473E-2</v>
      </c>
      <c r="J48" s="58">
        <f t="shared" si="20"/>
        <v>4.5417030503440856E-2</v>
      </c>
      <c r="K48" s="58">
        <f t="shared" si="20"/>
        <v>6.9592222676437193E-2</v>
      </c>
      <c r="L48" s="58">
        <f t="shared" si="20"/>
        <v>9.7224652613279117E-2</v>
      </c>
      <c r="M48" s="58">
        <f t="shared" si="20"/>
        <v>0.12648847189256027</v>
      </c>
      <c r="N48" s="58">
        <f t="shared" si="20"/>
        <v>0.15588728721087355</v>
      </c>
    </row>
    <row r="49" spans="2:14" x14ac:dyDescent="0.2">
      <c r="B49" s="65">
        <f>-B33</f>
        <v>-100000000</v>
      </c>
      <c r="C49" s="69">
        <f t="shared" ref="C49:N49" si="21">C47*$B49</f>
        <v>-733.05978370717639</v>
      </c>
      <c r="D49" s="69">
        <f t="shared" si="21"/>
        <v>-4322.733963742221</v>
      </c>
      <c r="E49" s="69">
        <f t="shared" si="21"/>
        <v>-16899.637293768679</v>
      </c>
      <c r="F49" s="69">
        <f t="shared" si="21"/>
        <v>-46546.206762468064</v>
      </c>
      <c r="G49" s="69">
        <f t="shared" si="21"/>
        <v>-94928.349993837168</v>
      </c>
      <c r="H49" s="69">
        <f t="shared" si="21"/>
        <v>-149379.40070111852</v>
      </c>
      <c r="I49" s="69">
        <f t="shared" si="21"/>
        <v>-187708.11543215634</v>
      </c>
      <c r="J49" s="69">
        <f t="shared" si="21"/>
        <v>-193870.52141670848</v>
      </c>
      <c r="K49" s="69">
        <f t="shared" si="21"/>
        <v>-168652.61460671158</v>
      </c>
      <c r="L49" s="69">
        <f t="shared" si="21"/>
        <v>-126174.95202057053</v>
      </c>
      <c r="M49" s="69">
        <f t="shared" si="21"/>
        <v>-82642.935951687716</v>
      </c>
      <c r="N49" s="69">
        <f t="shared" si="21"/>
        <v>-48125.212738009723</v>
      </c>
    </row>
    <row r="52" spans="2:14" x14ac:dyDescent="0.2">
      <c r="B52" t="s">
        <v>191</v>
      </c>
      <c r="C52" s="57">
        <f t="shared" ref="C52:N52" si="22">C40</f>
        <v>80</v>
      </c>
      <c r="D52" s="57">
        <f t="shared" si="22"/>
        <v>85</v>
      </c>
      <c r="E52" s="57">
        <f t="shared" si="22"/>
        <v>90</v>
      </c>
      <c r="F52" s="57">
        <f t="shared" si="22"/>
        <v>95</v>
      </c>
      <c r="G52" s="57">
        <f t="shared" si="22"/>
        <v>100</v>
      </c>
      <c r="H52" s="57">
        <f t="shared" si="22"/>
        <v>105</v>
      </c>
      <c r="I52" s="57">
        <f t="shared" si="22"/>
        <v>110</v>
      </c>
      <c r="J52" s="57">
        <f t="shared" si="22"/>
        <v>115</v>
      </c>
      <c r="K52" s="57">
        <f t="shared" si="22"/>
        <v>120</v>
      </c>
      <c r="L52" s="57">
        <f t="shared" si="22"/>
        <v>125</v>
      </c>
      <c r="M52" s="57">
        <f t="shared" si="22"/>
        <v>130</v>
      </c>
      <c r="N52" s="57">
        <f t="shared" si="22"/>
        <v>135</v>
      </c>
    </row>
    <row r="53" spans="2:14" x14ac:dyDescent="0.2">
      <c r="B53" t="s">
        <v>228</v>
      </c>
      <c r="C53" s="65">
        <f>C49+C33+C17</f>
        <v>5167.3447666110251</v>
      </c>
      <c r="D53" s="65">
        <f t="shared" ref="D53:N53" si="23">D49+D33+D17</f>
        <v>18886.369283557135</v>
      </c>
      <c r="E53" s="65">
        <f t="shared" si="23"/>
        <v>45042.826653951255</v>
      </c>
      <c r="F53" s="65">
        <f t="shared" si="23"/>
        <v>72351.279932506208</v>
      </c>
      <c r="G53" s="65">
        <f t="shared" si="23"/>
        <v>77221.80263620081</v>
      </c>
      <c r="H53" s="65">
        <f t="shared" si="23"/>
        <v>46183.133211964654</v>
      </c>
      <c r="I53" s="65">
        <f t="shared" si="23"/>
        <v>-7594.7038217402878</v>
      </c>
      <c r="J53" s="65">
        <f t="shared" si="23"/>
        <v>-55627.939131076331</v>
      </c>
      <c r="K53" s="65">
        <f t="shared" si="23"/>
        <v>-78146.401187138632</v>
      </c>
      <c r="L53" s="65">
        <f t="shared" si="23"/>
        <v>-74621.979310803436</v>
      </c>
      <c r="M53" s="65">
        <f t="shared" si="23"/>
        <v>-56657.734461026834</v>
      </c>
      <c r="N53" s="65">
        <f t="shared" si="23"/>
        <v>-36364.688605891221</v>
      </c>
    </row>
    <row r="54" spans="2:14" x14ac:dyDescent="0.2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</row>
    <row r="57" spans="2:14" x14ac:dyDescent="0.2">
      <c r="B57" t="s">
        <v>230</v>
      </c>
      <c r="C57" s="65">
        <f>C33</f>
        <v>5900.4045503182015</v>
      </c>
      <c r="D57" s="65">
        <f t="shared" ref="D57:N57" si="24">D33</f>
        <v>23209.103247299357</v>
      </c>
      <c r="E57" s="65">
        <f t="shared" si="24"/>
        <v>61942.463947719931</v>
      </c>
      <c r="F57" s="65">
        <f t="shared" si="24"/>
        <v>118897.48669497427</v>
      </c>
      <c r="G57" s="65">
        <f t="shared" si="24"/>
        <v>172150.15263003798</v>
      </c>
      <c r="H57" s="65">
        <f t="shared" si="24"/>
        <v>195562.53391308317</v>
      </c>
      <c r="I57" s="65">
        <f t="shared" si="24"/>
        <v>180113.41161041605</v>
      </c>
      <c r="J57" s="65">
        <f t="shared" si="24"/>
        <v>138242.58228563215</v>
      </c>
      <c r="K57" s="65">
        <f t="shared" si="24"/>
        <v>90506.213419572945</v>
      </c>
      <c r="L57" s="65">
        <f t="shared" si="24"/>
        <v>51552.972709767106</v>
      </c>
      <c r="M57" s="65">
        <f t="shared" si="24"/>
        <v>25985.201490660882</v>
      </c>
      <c r="N57" s="65">
        <f t="shared" si="24"/>
        <v>11760.5241321185</v>
      </c>
    </row>
    <row r="58" spans="2:14" x14ac:dyDescent="0.2">
      <c r="B58" t="s">
        <v>231</v>
      </c>
      <c r="C58" s="65">
        <f>C49</f>
        <v>-733.05978370717639</v>
      </c>
      <c r="D58" s="65">
        <f t="shared" ref="D58:N58" si="25">D49</f>
        <v>-4322.733963742221</v>
      </c>
      <c r="E58" s="65">
        <f t="shared" si="25"/>
        <v>-16899.637293768679</v>
      </c>
      <c r="F58" s="65">
        <f t="shared" si="25"/>
        <v>-46546.206762468064</v>
      </c>
      <c r="G58" s="65">
        <f t="shared" si="25"/>
        <v>-94928.349993837168</v>
      </c>
      <c r="H58" s="65">
        <f t="shared" si="25"/>
        <v>-149379.40070111852</v>
      </c>
      <c r="I58" s="65">
        <f t="shared" si="25"/>
        <v>-187708.11543215634</v>
      </c>
      <c r="J58" s="65">
        <f t="shared" si="25"/>
        <v>-193870.52141670848</v>
      </c>
      <c r="K58" s="65">
        <f t="shared" si="25"/>
        <v>-168652.61460671158</v>
      </c>
      <c r="L58" s="65">
        <f t="shared" si="25"/>
        <v>-126174.95202057053</v>
      </c>
      <c r="M58" s="65">
        <f t="shared" si="25"/>
        <v>-82642.935951687716</v>
      </c>
      <c r="N58" s="65">
        <f t="shared" si="25"/>
        <v>-48125.212738009723</v>
      </c>
    </row>
    <row r="59" spans="2:14" x14ac:dyDescent="0.2">
      <c r="B59" t="s">
        <v>194</v>
      </c>
      <c r="C59" s="69">
        <f>C53</f>
        <v>5167.3447666110251</v>
      </c>
      <c r="D59" s="69">
        <f t="shared" ref="D59:N59" si="26">D53</f>
        <v>18886.369283557135</v>
      </c>
      <c r="E59" s="69">
        <f t="shared" si="26"/>
        <v>45042.826653951255</v>
      </c>
      <c r="F59" s="69">
        <f t="shared" si="26"/>
        <v>72351.279932506208</v>
      </c>
      <c r="G59" s="69">
        <f t="shared" si="26"/>
        <v>77221.80263620081</v>
      </c>
      <c r="H59" s="69">
        <f t="shared" si="26"/>
        <v>46183.133211964654</v>
      </c>
      <c r="I59" s="69">
        <f t="shared" si="26"/>
        <v>-7594.7038217402878</v>
      </c>
      <c r="J59" s="69">
        <f t="shared" si="26"/>
        <v>-55627.939131076331</v>
      </c>
      <c r="K59" s="69">
        <f t="shared" si="26"/>
        <v>-78146.401187138632</v>
      </c>
      <c r="L59" s="69">
        <f t="shared" si="26"/>
        <v>-74621.979310803436</v>
      </c>
      <c r="M59" s="69">
        <f t="shared" si="26"/>
        <v>-56657.734461026834</v>
      </c>
      <c r="N59" s="69">
        <f t="shared" si="26"/>
        <v>-36364.688605891221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0"/>
  <dimension ref="A3:Q27"/>
  <sheetViews>
    <sheetView zoomScaleNormal="100" workbookViewId="0">
      <selection activeCell="T42" sqref="T42"/>
    </sheetView>
  </sheetViews>
  <sheetFormatPr defaultRowHeight="12.75" x14ac:dyDescent="0.2"/>
  <cols>
    <col min="2" max="2" width="13.5703125" bestFit="1" customWidth="1"/>
    <col min="3" max="10" width="9.7109375" bestFit="1" customWidth="1"/>
    <col min="11" max="14" width="10.7109375" bestFit="1" customWidth="1"/>
  </cols>
  <sheetData>
    <row r="3" spans="1:17" x14ac:dyDescent="0.2">
      <c r="Q3" t="s">
        <v>229</v>
      </c>
    </row>
    <row r="4" spans="1:17" x14ac:dyDescent="0.2">
      <c r="C4" t="s">
        <v>188</v>
      </c>
      <c r="D4" t="s">
        <v>188</v>
      </c>
      <c r="E4" t="s">
        <v>188</v>
      </c>
      <c r="F4" t="s">
        <v>188</v>
      </c>
      <c r="G4" t="s">
        <v>188</v>
      </c>
      <c r="H4" t="s">
        <v>188</v>
      </c>
      <c r="I4" t="s">
        <v>188</v>
      </c>
      <c r="J4" t="s">
        <v>188</v>
      </c>
      <c r="K4" t="s">
        <v>188</v>
      </c>
      <c r="L4" t="s">
        <v>188</v>
      </c>
      <c r="M4" t="s">
        <v>188</v>
      </c>
      <c r="N4" t="s">
        <v>188</v>
      </c>
    </row>
    <row r="5" spans="1:17" x14ac:dyDescent="0.2">
      <c r="C5">
        <v>80</v>
      </c>
      <c r="D5">
        <v>80</v>
      </c>
      <c r="E5">
        <v>80</v>
      </c>
      <c r="F5">
        <v>80</v>
      </c>
      <c r="G5">
        <v>80</v>
      </c>
      <c r="H5">
        <v>80</v>
      </c>
      <c r="I5">
        <v>80</v>
      </c>
      <c r="J5">
        <v>80</v>
      </c>
      <c r="K5">
        <v>80</v>
      </c>
      <c r="L5">
        <v>80</v>
      </c>
      <c r="M5">
        <v>80</v>
      </c>
      <c r="N5">
        <v>80</v>
      </c>
    </row>
    <row r="6" spans="1:17" x14ac:dyDescent="0.2">
      <c r="C6" t="s">
        <v>95</v>
      </c>
      <c r="D6" t="s">
        <v>95</v>
      </c>
      <c r="E6" t="s">
        <v>95</v>
      </c>
      <c r="F6" t="s">
        <v>95</v>
      </c>
      <c r="G6" t="s">
        <v>95</v>
      </c>
      <c r="H6" t="s">
        <v>95</v>
      </c>
      <c r="I6" t="s">
        <v>95</v>
      </c>
      <c r="J6" t="s">
        <v>95</v>
      </c>
      <c r="K6" t="s">
        <v>95</v>
      </c>
      <c r="L6" t="s">
        <v>95</v>
      </c>
      <c r="M6" t="s">
        <v>95</v>
      </c>
      <c r="N6" t="s">
        <v>95</v>
      </c>
    </row>
    <row r="7" spans="1:17" x14ac:dyDescent="0.2">
      <c r="B7" t="s">
        <v>142</v>
      </c>
      <c r="C7" t="s">
        <v>186</v>
      </c>
      <c r="D7" t="s">
        <v>186</v>
      </c>
      <c r="E7" t="s">
        <v>186</v>
      </c>
      <c r="F7" t="s">
        <v>186</v>
      </c>
      <c r="G7" t="s">
        <v>186</v>
      </c>
      <c r="H7" t="s">
        <v>186</v>
      </c>
      <c r="I7" t="s">
        <v>186</v>
      </c>
      <c r="J7" t="s">
        <v>186</v>
      </c>
      <c r="K7" t="s">
        <v>186</v>
      </c>
      <c r="L7" t="s">
        <v>186</v>
      </c>
      <c r="M7" t="s">
        <v>186</v>
      </c>
      <c r="N7" t="s">
        <v>186</v>
      </c>
    </row>
    <row r="8" spans="1:17" x14ac:dyDescent="0.2">
      <c r="B8" t="s">
        <v>63</v>
      </c>
      <c r="C8" s="61">
        <v>41340</v>
      </c>
      <c r="D8" s="61">
        <v>41340</v>
      </c>
      <c r="E8" s="61">
        <v>41340</v>
      </c>
      <c r="F8" s="61">
        <v>41340</v>
      </c>
      <c r="G8" s="61">
        <v>41340</v>
      </c>
      <c r="H8" s="61">
        <v>41340</v>
      </c>
      <c r="I8" s="61">
        <v>41340</v>
      </c>
      <c r="J8" s="61">
        <v>41340</v>
      </c>
      <c r="K8" s="61">
        <v>41340</v>
      </c>
      <c r="L8" s="61">
        <v>41340</v>
      </c>
      <c r="M8" s="61">
        <v>41340</v>
      </c>
      <c r="N8" s="61">
        <v>41340</v>
      </c>
    </row>
    <row r="9" spans="1:17" x14ac:dyDescent="0.2">
      <c r="B9" t="s">
        <v>64</v>
      </c>
      <c r="C9" s="61">
        <v>41430</v>
      </c>
      <c r="D9" s="61">
        <v>41430</v>
      </c>
      <c r="E9" s="61">
        <v>41430</v>
      </c>
      <c r="F9" s="61">
        <v>41430</v>
      </c>
      <c r="G9" s="61">
        <v>41430</v>
      </c>
      <c r="H9" s="61">
        <v>41430</v>
      </c>
      <c r="I9" s="61">
        <v>41430</v>
      </c>
      <c r="J9" s="61">
        <v>41430</v>
      </c>
      <c r="K9" s="61">
        <v>41430</v>
      </c>
      <c r="L9" s="61">
        <v>41430</v>
      </c>
      <c r="M9" s="61">
        <v>41430</v>
      </c>
      <c r="N9" s="61">
        <v>41430</v>
      </c>
    </row>
    <row r="10" spans="1:17" x14ac:dyDescent="0.2">
      <c r="B10" t="s">
        <v>65</v>
      </c>
      <c r="C10" s="57">
        <v>100</v>
      </c>
      <c r="D10" s="57">
        <v>100</v>
      </c>
      <c r="E10" s="57">
        <v>100</v>
      </c>
      <c r="F10" s="57">
        <v>100</v>
      </c>
      <c r="G10" s="57">
        <v>100</v>
      </c>
      <c r="H10" s="57">
        <v>100</v>
      </c>
      <c r="I10" s="57">
        <v>100</v>
      </c>
      <c r="J10" s="57">
        <v>100</v>
      </c>
      <c r="K10" s="57">
        <v>100</v>
      </c>
      <c r="L10" s="57">
        <v>100</v>
      </c>
      <c r="M10" s="57">
        <v>100</v>
      </c>
      <c r="N10" s="57">
        <v>100</v>
      </c>
    </row>
    <row r="11" spans="1:17" x14ac:dyDescent="0.2">
      <c r="B11" t="s">
        <v>187</v>
      </c>
      <c r="C11" s="57">
        <v>120</v>
      </c>
      <c r="D11" s="57">
        <v>120</v>
      </c>
      <c r="E11" s="57">
        <v>120</v>
      </c>
      <c r="F11" s="57">
        <v>120</v>
      </c>
      <c r="G11" s="57">
        <v>120</v>
      </c>
      <c r="H11" s="57">
        <v>120</v>
      </c>
      <c r="I11" s="57">
        <v>120</v>
      </c>
      <c r="J11" s="57">
        <v>120</v>
      </c>
      <c r="K11" s="57">
        <v>120</v>
      </c>
      <c r="L11" s="57">
        <v>120</v>
      </c>
      <c r="M11" s="57">
        <v>120</v>
      </c>
      <c r="N11" s="57">
        <v>120</v>
      </c>
    </row>
    <row r="12" spans="1:17" x14ac:dyDescent="0.2">
      <c r="A12">
        <v>3</v>
      </c>
      <c r="B12" t="s">
        <v>66</v>
      </c>
      <c r="C12" s="57">
        <v>87</v>
      </c>
      <c r="D12" s="57">
        <f>C12+$A$12</f>
        <v>90</v>
      </c>
      <c r="E12" s="57">
        <f t="shared" ref="E12:N12" si="0">D12+$A$12</f>
        <v>93</v>
      </c>
      <c r="F12" s="57">
        <f t="shared" si="0"/>
        <v>96</v>
      </c>
      <c r="G12" s="57">
        <f t="shared" si="0"/>
        <v>99</v>
      </c>
      <c r="H12" s="57">
        <f t="shared" si="0"/>
        <v>102</v>
      </c>
      <c r="I12" s="57">
        <f t="shared" si="0"/>
        <v>105</v>
      </c>
      <c r="J12" s="57">
        <f t="shared" si="0"/>
        <v>108</v>
      </c>
      <c r="K12" s="57">
        <f t="shared" si="0"/>
        <v>111</v>
      </c>
      <c r="L12" s="57">
        <f t="shared" si="0"/>
        <v>114</v>
      </c>
      <c r="M12" s="57">
        <f t="shared" si="0"/>
        <v>117</v>
      </c>
      <c r="N12" s="57">
        <f t="shared" si="0"/>
        <v>120</v>
      </c>
    </row>
    <row r="13" spans="1:17" x14ac:dyDescent="0.2">
      <c r="B13" t="s">
        <v>67</v>
      </c>
      <c r="C13" s="57">
        <f>C12</f>
        <v>87</v>
      </c>
      <c r="D13" s="57">
        <f t="shared" ref="D13:N13" si="1">D12</f>
        <v>90</v>
      </c>
      <c r="E13" s="57">
        <f t="shared" si="1"/>
        <v>93</v>
      </c>
      <c r="F13" s="57">
        <f t="shared" si="1"/>
        <v>96</v>
      </c>
      <c r="G13" s="57">
        <f t="shared" si="1"/>
        <v>99</v>
      </c>
      <c r="H13" s="57">
        <f t="shared" si="1"/>
        <v>102</v>
      </c>
      <c r="I13" s="57">
        <f t="shared" si="1"/>
        <v>105</v>
      </c>
      <c r="J13" s="57">
        <f t="shared" si="1"/>
        <v>108</v>
      </c>
      <c r="K13" s="57">
        <f t="shared" si="1"/>
        <v>111</v>
      </c>
      <c r="L13" s="57">
        <f t="shared" si="1"/>
        <v>114</v>
      </c>
      <c r="M13" s="57">
        <f t="shared" si="1"/>
        <v>117</v>
      </c>
      <c r="N13" s="57">
        <f t="shared" si="1"/>
        <v>120</v>
      </c>
    </row>
    <row r="14" spans="1:17" x14ac:dyDescent="0.2">
      <c r="B14" t="s">
        <v>143</v>
      </c>
      <c r="C14" s="55">
        <v>0.05</v>
      </c>
      <c r="D14" s="55">
        <v>0.05</v>
      </c>
      <c r="E14" s="55">
        <v>0.05</v>
      </c>
      <c r="F14" s="55">
        <v>0.05</v>
      </c>
      <c r="G14" s="55">
        <v>0.05</v>
      </c>
      <c r="H14" s="55">
        <v>0.05</v>
      </c>
      <c r="I14" s="55">
        <v>0.05</v>
      </c>
      <c r="J14" s="55">
        <v>0.05</v>
      </c>
      <c r="K14" s="55">
        <v>0.05</v>
      </c>
      <c r="L14" s="55">
        <v>0.05</v>
      </c>
      <c r="M14" s="55">
        <v>0.05</v>
      </c>
      <c r="N14" s="55">
        <v>0.05</v>
      </c>
    </row>
    <row r="15" spans="1:17" x14ac:dyDescent="0.2">
      <c r="B15" t="s">
        <v>144</v>
      </c>
      <c r="C15" t="s">
        <v>53</v>
      </c>
      <c r="D15" t="s">
        <v>53</v>
      </c>
      <c r="E15" t="s">
        <v>53</v>
      </c>
      <c r="F15" t="s">
        <v>53</v>
      </c>
      <c r="G15" t="s">
        <v>53</v>
      </c>
      <c r="H15" t="s">
        <v>53</v>
      </c>
      <c r="I15" t="s">
        <v>53</v>
      </c>
      <c r="J15" t="s">
        <v>53</v>
      </c>
      <c r="K15" t="s">
        <v>53</v>
      </c>
      <c r="L15" t="s">
        <v>53</v>
      </c>
      <c r="M15" t="s">
        <v>53</v>
      </c>
      <c r="N15" t="s">
        <v>53</v>
      </c>
    </row>
    <row r="16" spans="1:17" x14ac:dyDescent="0.2">
      <c r="B16" t="s">
        <v>145</v>
      </c>
      <c r="C16" s="54">
        <v>0.2</v>
      </c>
      <c r="D16" s="54">
        <v>0.2</v>
      </c>
      <c r="E16" s="54">
        <v>0.2</v>
      </c>
      <c r="F16" s="54">
        <v>0.2</v>
      </c>
      <c r="G16" s="54">
        <v>0.2</v>
      </c>
      <c r="H16" s="54">
        <v>0.2</v>
      </c>
      <c r="I16" s="54">
        <v>0.2</v>
      </c>
      <c r="J16" s="54">
        <v>0.2</v>
      </c>
      <c r="K16" s="54">
        <v>0.2</v>
      </c>
      <c r="L16" s="54">
        <v>0.2</v>
      </c>
      <c r="M16" s="54">
        <v>0.2</v>
      </c>
      <c r="N16" s="54">
        <v>0.2</v>
      </c>
    </row>
    <row r="17" spans="2:14" x14ac:dyDescent="0.2">
      <c r="B17" t="s">
        <v>146</v>
      </c>
      <c r="C17" t="s">
        <v>138</v>
      </c>
      <c r="D17" t="s">
        <v>138</v>
      </c>
      <c r="E17" t="s">
        <v>138</v>
      </c>
      <c r="F17" t="s">
        <v>138</v>
      </c>
      <c r="G17" t="s">
        <v>138</v>
      </c>
      <c r="H17" t="s">
        <v>138</v>
      </c>
      <c r="I17" t="s">
        <v>138</v>
      </c>
      <c r="J17" t="s">
        <v>138</v>
      </c>
      <c r="K17" t="s">
        <v>138</v>
      </c>
      <c r="L17" t="s">
        <v>138</v>
      </c>
      <c r="M17" t="s">
        <v>138</v>
      </c>
      <c r="N17" t="s">
        <v>138</v>
      </c>
    </row>
    <row r="18" spans="2:14" x14ac:dyDescent="0.2">
      <c r="B18" t="s">
        <v>147</v>
      </c>
      <c r="C18" t="s">
        <v>159</v>
      </c>
      <c r="D18" t="s">
        <v>159</v>
      </c>
      <c r="E18" t="s">
        <v>159</v>
      </c>
      <c r="F18" t="s">
        <v>159</v>
      </c>
      <c r="G18" t="s">
        <v>159</v>
      </c>
      <c r="H18" t="s">
        <v>159</v>
      </c>
      <c r="I18" t="s">
        <v>159</v>
      </c>
      <c r="J18" t="s">
        <v>159</v>
      </c>
      <c r="K18" t="s">
        <v>159</v>
      </c>
      <c r="L18" t="s">
        <v>159</v>
      </c>
      <c r="M18" t="s">
        <v>159</v>
      </c>
      <c r="N18" t="s">
        <v>159</v>
      </c>
    </row>
    <row r="19" spans="2:14" x14ac:dyDescent="0.2">
      <c r="B19" t="s">
        <v>138</v>
      </c>
      <c r="C19" s="58">
        <f t="shared" ref="C19:N19" si="2">KnockOut(C6,C7,C8,C9,C10,C12,C13,C14,C15,C16,C11,C5,$B19,C18)</f>
        <v>7.5104866688332078E-2</v>
      </c>
      <c r="D19" s="58">
        <f t="shared" si="2"/>
        <v>0.12378281538877664</v>
      </c>
      <c r="E19" s="58">
        <f t="shared" si="2"/>
        <v>0.1763647751188071</v>
      </c>
      <c r="F19" s="58">
        <f t="shared" si="2"/>
        <v>0.21574312790456229</v>
      </c>
      <c r="G19" s="58">
        <f t="shared" si="2"/>
        <v>0.22089159239048833</v>
      </c>
      <c r="H19" s="58">
        <f t="shared" si="2"/>
        <v>0.17493184532536077</v>
      </c>
      <c r="I19" s="58">
        <f t="shared" si="2"/>
        <v>7.3623658667094347E-2</v>
      </c>
      <c r="J19" s="58">
        <f t="shared" si="2"/>
        <v>-7.0122027910928364E-2</v>
      </c>
      <c r="K19" s="58">
        <f t="shared" si="2"/>
        <v>-0.22848326843123873</v>
      </c>
      <c r="L19" s="58">
        <f t="shared" si="2"/>
        <v>-0.36712266200966381</v>
      </c>
      <c r="M19" s="58">
        <f t="shared" si="2"/>
        <v>-0.45609989238760024</v>
      </c>
      <c r="N19" s="58">
        <f t="shared" si="2"/>
        <v>0</v>
      </c>
    </row>
    <row r="20" spans="2:14" x14ac:dyDescent="0.2">
      <c r="B20" t="s">
        <v>158</v>
      </c>
      <c r="C20" s="58">
        <f t="shared" ref="C20:N20" si="3">KnockOut(C6,C7,C8,C9,C10,C12,C13,C14,C15,C16,C11,C5,$B20,C18)</f>
        <v>6.521271672250505E-4</v>
      </c>
      <c r="D20" s="58">
        <f t="shared" si="3"/>
        <v>8.431132221134002E-4</v>
      </c>
      <c r="E20" s="58">
        <f t="shared" si="3"/>
        <v>8.4186216262790233E-4</v>
      </c>
      <c r="F20" s="58">
        <f t="shared" si="3"/>
        <v>5.124352028262058E-4</v>
      </c>
      <c r="G20" s="58">
        <f t="shared" si="3"/>
        <v>-1.90496590384986E-4</v>
      </c>
      <c r="H20" s="82">
        <f t="shared" si="3"/>
        <v>-1.1596893604994862E-3</v>
      </c>
      <c r="I20" s="58">
        <f t="shared" si="3"/>
        <v>-2.1404901649949887E-3</v>
      </c>
      <c r="J20" s="58">
        <f t="shared" si="3"/>
        <v>-2.8145696337174091E-3</v>
      </c>
      <c r="K20" s="58">
        <f t="shared" si="3"/>
        <v>-2.9266032367342965E-3</v>
      </c>
      <c r="L20" s="58">
        <f t="shared" si="3"/>
        <v>-2.3907787930665088E-3</v>
      </c>
      <c r="M20" s="58">
        <f t="shared" si="3"/>
        <v>-1.324854061076692E-3</v>
      </c>
      <c r="N20" s="58">
        <f t="shared" si="3"/>
        <v>0</v>
      </c>
    </row>
    <row r="21" spans="2:14" x14ac:dyDescent="0.2">
      <c r="B21" t="s">
        <v>137</v>
      </c>
      <c r="C21" s="58">
        <f t="shared" ref="C21:N21" si="4">KnockOut(C6,C7,C8,C9,C10,C12,C13,C14,C15,C16,C11,C5,$B21,C18)</f>
        <v>3.6021230080409803E-3</v>
      </c>
      <c r="D21" s="58">
        <f t="shared" si="4"/>
        <v>6.9404298913890647E-3</v>
      </c>
      <c r="E21" s="58">
        <f t="shared" si="4"/>
        <v>1.186582145258662E-2</v>
      </c>
      <c r="F21" s="58">
        <f t="shared" si="4"/>
        <v>1.8149547261021848E-2</v>
      </c>
      <c r="G21" s="58">
        <f t="shared" si="4"/>
        <v>2.4980565701521174E-2</v>
      </c>
      <c r="H21" s="58">
        <f t="shared" si="4"/>
        <v>3.1031962760956103E-2</v>
      </c>
      <c r="I21" s="58">
        <f t="shared" si="4"/>
        <v>3.4767549724622829E-2</v>
      </c>
      <c r="J21" s="58">
        <f t="shared" si="4"/>
        <v>3.4898375126544284E-2</v>
      </c>
      <c r="K21" s="58">
        <f t="shared" si="4"/>
        <v>3.0812215122081644E-2</v>
      </c>
      <c r="L21" s="58">
        <f t="shared" si="4"/>
        <v>2.2797551649069152E-2</v>
      </c>
      <c r="M21" s="58">
        <f t="shared" si="4"/>
        <v>1.1978704813272624E-2</v>
      </c>
      <c r="N21" s="58">
        <f t="shared" si="4"/>
        <v>0</v>
      </c>
    </row>
    <row r="22" spans="2:14" x14ac:dyDescent="0.2">
      <c r="B22" s="65">
        <v>100000000</v>
      </c>
      <c r="C22" s="69">
        <f t="shared" ref="C22:N22" si="5">C19*$B22</f>
        <v>7510486.6688332083</v>
      </c>
      <c r="D22" s="69">
        <f t="shared" si="5"/>
        <v>12378281.538877664</v>
      </c>
      <c r="E22" s="69">
        <f t="shared" si="5"/>
        <v>17636477.511880711</v>
      </c>
      <c r="F22" s="69">
        <f t="shared" si="5"/>
        <v>21574312.790456228</v>
      </c>
      <c r="G22" s="69">
        <f t="shared" si="5"/>
        <v>22089159.239048835</v>
      </c>
      <c r="H22" s="69">
        <f t="shared" si="5"/>
        <v>17493184.532536078</v>
      </c>
      <c r="I22" s="69">
        <f t="shared" si="5"/>
        <v>7362365.8667094344</v>
      </c>
      <c r="J22" s="69">
        <f t="shared" si="5"/>
        <v>-7012202.7910928363</v>
      </c>
      <c r="K22" s="69">
        <f t="shared" si="5"/>
        <v>-22848326.843123872</v>
      </c>
      <c r="L22" s="69">
        <f t="shared" si="5"/>
        <v>-36712266.200966381</v>
      </c>
      <c r="M22" s="69">
        <f t="shared" si="5"/>
        <v>-45609989.238760024</v>
      </c>
      <c r="N22" s="69">
        <f t="shared" si="5"/>
        <v>0</v>
      </c>
    </row>
    <row r="23" spans="2:14" x14ac:dyDescent="0.2">
      <c r="B23" t="s">
        <v>223</v>
      </c>
      <c r="C23" s="69">
        <f t="shared" ref="C23:N23" si="6">C20*$B22</f>
        <v>65212.716722505051</v>
      </c>
      <c r="D23" s="69">
        <f t="shared" si="6"/>
        <v>84311.322211340026</v>
      </c>
      <c r="E23" s="69">
        <f t="shared" si="6"/>
        <v>84186.216262790229</v>
      </c>
      <c r="F23" s="69">
        <f t="shared" si="6"/>
        <v>51243.520282620579</v>
      </c>
      <c r="G23" s="69">
        <f t="shared" si="6"/>
        <v>-19049.659038498601</v>
      </c>
      <c r="H23" s="69">
        <f t="shared" si="6"/>
        <v>-115968.93604994862</v>
      </c>
      <c r="I23" s="69">
        <f t="shared" si="6"/>
        <v>-214049.01649949886</v>
      </c>
      <c r="J23" s="69">
        <f t="shared" si="6"/>
        <v>-281456.96337174089</v>
      </c>
      <c r="K23" s="69">
        <f t="shared" si="6"/>
        <v>-292660.32367342967</v>
      </c>
      <c r="L23" s="69">
        <f t="shared" si="6"/>
        <v>-239077.8793066509</v>
      </c>
      <c r="M23" s="69">
        <f t="shared" si="6"/>
        <v>-132485.4061076692</v>
      </c>
      <c r="N23" s="69">
        <f t="shared" si="6"/>
        <v>0</v>
      </c>
    </row>
    <row r="27" spans="2:14" x14ac:dyDescent="0.2">
      <c r="B27" t="s">
        <v>194</v>
      </c>
      <c r="C27" s="69">
        <f>C23</f>
        <v>65212.716722505051</v>
      </c>
      <c r="D27" s="69">
        <f t="shared" ref="D27:N27" si="7">D23</f>
        <v>84311.322211340026</v>
      </c>
      <c r="E27" s="69">
        <f t="shared" si="7"/>
        <v>84186.216262790229</v>
      </c>
      <c r="F27" s="69">
        <f t="shared" si="7"/>
        <v>51243.520282620579</v>
      </c>
      <c r="G27" s="69">
        <f t="shared" si="7"/>
        <v>-19049.659038498601</v>
      </c>
      <c r="H27" s="69">
        <f t="shared" si="7"/>
        <v>-115968.93604994862</v>
      </c>
      <c r="I27" s="69">
        <f t="shared" si="7"/>
        <v>-214049.01649949886</v>
      </c>
      <c r="J27" s="69">
        <f t="shared" si="7"/>
        <v>-281456.96337174089</v>
      </c>
      <c r="K27" s="69">
        <f t="shared" si="7"/>
        <v>-292660.32367342967</v>
      </c>
      <c r="L27" s="69">
        <f t="shared" si="7"/>
        <v>-239077.8793066509</v>
      </c>
      <c r="M27" s="69">
        <f t="shared" si="7"/>
        <v>-132485.4061076692</v>
      </c>
      <c r="N27" s="69">
        <f t="shared" si="7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1"/>
  <dimension ref="A3:Q77"/>
  <sheetViews>
    <sheetView workbookViewId="0">
      <selection activeCell="B22" sqref="B22"/>
    </sheetView>
  </sheetViews>
  <sheetFormatPr defaultRowHeight="12.75" x14ac:dyDescent="0.2"/>
  <cols>
    <col min="1" max="1" width="2" bestFit="1" customWidth="1"/>
    <col min="2" max="2" width="11.140625" bestFit="1" customWidth="1"/>
    <col min="3" max="6" width="10.140625" bestFit="1" customWidth="1"/>
    <col min="7" max="7" width="9.42578125" bestFit="1" customWidth="1"/>
    <col min="8" max="8" width="9.7109375" bestFit="1" customWidth="1"/>
    <col min="9" max="13" width="10.7109375" bestFit="1" customWidth="1"/>
    <col min="14" max="14" width="9.42578125" bestFit="1" customWidth="1"/>
    <col min="17" max="17" width="44" bestFit="1" customWidth="1"/>
  </cols>
  <sheetData>
    <row r="3" spans="1:17" x14ac:dyDescent="0.2">
      <c r="Q3" t="s">
        <v>229</v>
      </c>
    </row>
    <row r="4" spans="1:17" x14ac:dyDescent="0.2">
      <c r="C4" t="s">
        <v>188</v>
      </c>
      <c r="D4" t="s">
        <v>188</v>
      </c>
      <c r="E4" t="s">
        <v>188</v>
      </c>
      <c r="F4" t="s">
        <v>188</v>
      </c>
      <c r="G4" t="s">
        <v>188</v>
      </c>
      <c r="H4" t="s">
        <v>188</v>
      </c>
      <c r="I4" t="s">
        <v>188</v>
      </c>
      <c r="J4" t="s">
        <v>188</v>
      </c>
      <c r="K4" t="s">
        <v>188</v>
      </c>
      <c r="L4" t="s">
        <v>188</v>
      </c>
      <c r="M4" t="s">
        <v>188</v>
      </c>
      <c r="N4" t="s">
        <v>188</v>
      </c>
    </row>
    <row r="5" spans="1:17" x14ac:dyDescent="0.2">
      <c r="C5">
        <v>80</v>
      </c>
      <c r="D5">
        <v>80</v>
      </c>
      <c r="E5">
        <v>80</v>
      </c>
      <c r="F5">
        <v>80</v>
      </c>
      <c r="G5">
        <v>80</v>
      </c>
      <c r="H5">
        <v>80</v>
      </c>
      <c r="I5">
        <v>80</v>
      </c>
      <c r="J5">
        <v>80</v>
      </c>
      <c r="K5">
        <v>80</v>
      </c>
      <c r="L5">
        <v>80</v>
      </c>
      <c r="M5">
        <v>80</v>
      </c>
      <c r="N5">
        <v>80</v>
      </c>
    </row>
    <row r="6" spans="1:17" x14ac:dyDescent="0.2">
      <c r="C6" t="s">
        <v>95</v>
      </c>
      <c r="D6" t="s">
        <v>95</v>
      </c>
      <c r="E6" t="s">
        <v>95</v>
      </c>
      <c r="F6" t="s">
        <v>95</v>
      </c>
      <c r="G6" t="s">
        <v>95</v>
      </c>
      <c r="H6" t="s">
        <v>95</v>
      </c>
      <c r="I6" t="s">
        <v>95</v>
      </c>
      <c r="J6" t="s">
        <v>95</v>
      </c>
      <c r="K6" t="s">
        <v>95</v>
      </c>
      <c r="L6" t="s">
        <v>95</v>
      </c>
      <c r="M6" t="s">
        <v>95</v>
      </c>
      <c r="N6" t="s">
        <v>95</v>
      </c>
    </row>
    <row r="7" spans="1:17" x14ac:dyDescent="0.2">
      <c r="B7" t="s">
        <v>142</v>
      </c>
      <c r="C7" t="s">
        <v>186</v>
      </c>
      <c r="D7" t="s">
        <v>186</v>
      </c>
      <c r="E7" t="s">
        <v>186</v>
      </c>
      <c r="F7" t="s">
        <v>186</v>
      </c>
      <c r="G7" t="s">
        <v>186</v>
      </c>
      <c r="H7" t="s">
        <v>186</v>
      </c>
      <c r="I7" t="s">
        <v>186</v>
      </c>
      <c r="J7" t="s">
        <v>186</v>
      </c>
      <c r="K7" t="s">
        <v>186</v>
      </c>
      <c r="L7" t="s">
        <v>186</v>
      </c>
      <c r="M7" t="s">
        <v>186</v>
      </c>
      <c r="N7" t="s">
        <v>186</v>
      </c>
    </row>
    <row r="8" spans="1:17" x14ac:dyDescent="0.2">
      <c r="B8" t="s">
        <v>63</v>
      </c>
      <c r="C8" s="61">
        <v>41340</v>
      </c>
      <c r="D8" s="61">
        <v>41340</v>
      </c>
      <c r="E8" s="61">
        <v>41340</v>
      </c>
      <c r="F8" s="61">
        <v>41340</v>
      </c>
      <c r="G8" s="61">
        <v>41340</v>
      </c>
      <c r="H8" s="61">
        <v>41340</v>
      </c>
      <c r="I8" s="61">
        <v>41340</v>
      </c>
      <c r="J8" s="61">
        <v>41340</v>
      </c>
      <c r="K8" s="61">
        <v>41340</v>
      </c>
      <c r="L8" s="61">
        <v>41340</v>
      </c>
      <c r="M8" s="61">
        <v>41340</v>
      </c>
      <c r="N8" s="61">
        <v>41340</v>
      </c>
    </row>
    <row r="9" spans="1:17" x14ac:dyDescent="0.2">
      <c r="B9" t="s">
        <v>64</v>
      </c>
      <c r="C9" s="61">
        <v>41430</v>
      </c>
      <c r="D9" s="61">
        <v>41430</v>
      </c>
      <c r="E9" s="61">
        <v>41430</v>
      </c>
      <c r="F9" s="61">
        <v>41430</v>
      </c>
      <c r="G9" s="61">
        <v>41430</v>
      </c>
      <c r="H9" s="61">
        <v>41430</v>
      </c>
      <c r="I9" s="61">
        <v>41430</v>
      </c>
      <c r="J9" s="61">
        <v>41430</v>
      </c>
      <c r="K9" s="61">
        <v>41430</v>
      </c>
      <c r="L9" s="61">
        <v>41430</v>
      </c>
      <c r="M9" s="61">
        <v>41430</v>
      </c>
      <c r="N9" s="61">
        <v>41430</v>
      </c>
    </row>
    <row r="10" spans="1:17" x14ac:dyDescent="0.2">
      <c r="B10" t="s">
        <v>65</v>
      </c>
      <c r="C10" s="57">
        <v>100</v>
      </c>
      <c r="D10" s="57">
        <v>100</v>
      </c>
      <c r="E10" s="57">
        <v>100</v>
      </c>
      <c r="F10" s="57">
        <v>100</v>
      </c>
      <c r="G10" s="57">
        <v>100</v>
      </c>
      <c r="H10" s="57">
        <v>100</v>
      </c>
      <c r="I10" s="57">
        <v>100</v>
      </c>
      <c r="J10" s="57">
        <v>100</v>
      </c>
      <c r="K10" s="57">
        <v>100</v>
      </c>
      <c r="L10" s="57">
        <v>100</v>
      </c>
      <c r="M10" s="57">
        <v>100</v>
      </c>
      <c r="N10" s="57">
        <v>100</v>
      </c>
    </row>
    <row r="11" spans="1:17" x14ac:dyDescent="0.2">
      <c r="B11" t="s">
        <v>187</v>
      </c>
      <c r="C11" s="57">
        <v>120</v>
      </c>
      <c r="D11" s="57">
        <v>120</v>
      </c>
      <c r="E11" s="57">
        <v>120</v>
      </c>
      <c r="F11" s="57">
        <v>120</v>
      </c>
      <c r="G11" s="57">
        <v>120</v>
      </c>
      <c r="H11" s="57">
        <v>120</v>
      </c>
      <c r="I11" s="57">
        <v>120</v>
      </c>
      <c r="J11" s="57">
        <v>120</v>
      </c>
      <c r="K11" s="57">
        <v>120</v>
      </c>
      <c r="L11" s="57">
        <v>120</v>
      </c>
      <c r="M11" s="57">
        <v>120</v>
      </c>
      <c r="N11" s="57">
        <v>120</v>
      </c>
    </row>
    <row r="12" spans="1:17" x14ac:dyDescent="0.2">
      <c r="A12">
        <v>2</v>
      </c>
      <c r="B12" t="s">
        <v>66</v>
      </c>
      <c r="C12" s="57">
        <v>98</v>
      </c>
      <c r="D12" s="57">
        <f>C12+$A$12</f>
        <v>100</v>
      </c>
      <c r="E12" s="57">
        <f t="shared" ref="E12:N12" si="0">D12+$A$12</f>
        <v>102</v>
      </c>
      <c r="F12" s="57">
        <f t="shared" si="0"/>
        <v>104</v>
      </c>
      <c r="G12" s="57">
        <f t="shared" si="0"/>
        <v>106</v>
      </c>
      <c r="H12" s="57">
        <f t="shared" si="0"/>
        <v>108</v>
      </c>
      <c r="I12" s="57">
        <f t="shared" si="0"/>
        <v>110</v>
      </c>
      <c r="J12" s="57">
        <f t="shared" si="0"/>
        <v>112</v>
      </c>
      <c r="K12" s="57">
        <f t="shared" si="0"/>
        <v>114</v>
      </c>
      <c r="L12" s="57">
        <f t="shared" si="0"/>
        <v>116</v>
      </c>
      <c r="M12" s="57">
        <f t="shared" si="0"/>
        <v>118</v>
      </c>
      <c r="N12" s="57">
        <f t="shared" si="0"/>
        <v>120</v>
      </c>
    </row>
    <row r="13" spans="1:17" x14ac:dyDescent="0.2">
      <c r="B13" t="s">
        <v>67</v>
      </c>
      <c r="C13" s="57">
        <f>C12</f>
        <v>98</v>
      </c>
      <c r="D13" s="57">
        <f t="shared" ref="D13:N13" si="1">D12</f>
        <v>100</v>
      </c>
      <c r="E13" s="57">
        <f t="shared" si="1"/>
        <v>102</v>
      </c>
      <c r="F13" s="57">
        <f t="shared" si="1"/>
        <v>104</v>
      </c>
      <c r="G13" s="57">
        <f t="shared" si="1"/>
        <v>106</v>
      </c>
      <c r="H13" s="57">
        <f t="shared" si="1"/>
        <v>108</v>
      </c>
      <c r="I13" s="57">
        <f t="shared" si="1"/>
        <v>110</v>
      </c>
      <c r="J13" s="57">
        <f t="shared" si="1"/>
        <v>112</v>
      </c>
      <c r="K13" s="57">
        <f t="shared" si="1"/>
        <v>114</v>
      </c>
      <c r="L13" s="57">
        <f t="shared" si="1"/>
        <v>116</v>
      </c>
      <c r="M13" s="57">
        <f t="shared" si="1"/>
        <v>118</v>
      </c>
      <c r="N13" s="57">
        <f t="shared" si="1"/>
        <v>120</v>
      </c>
    </row>
    <row r="14" spans="1:17" x14ac:dyDescent="0.2">
      <c r="B14" t="s">
        <v>143</v>
      </c>
      <c r="C14" s="55">
        <v>0.05</v>
      </c>
      <c r="D14" s="55">
        <v>0.05</v>
      </c>
      <c r="E14" s="55">
        <v>0.05</v>
      </c>
      <c r="F14" s="55">
        <v>0.05</v>
      </c>
      <c r="G14" s="55">
        <v>0.05</v>
      </c>
      <c r="H14" s="55">
        <v>0.05</v>
      </c>
      <c r="I14" s="55">
        <v>0.05</v>
      </c>
      <c r="J14" s="55">
        <v>0.05</v>
      </c>
      <c r="K14" s="55">
        <v>0.05</v>
      </c>
      <c r="L14" s="55">
        <v>0.05</v>
      </c>
      <c r="M14" s="55">
        <v>0.05</v>
      </c>
      <c r="N14" s="55">
        <v>0.05</v>
      </c>
    </row>
    <row r="15" spans="1:17" x14ac:dyDescent="0.2">
      <c r="B15" t="s">
        <v>144</v>
      </c>
      <c r="C15" t="s">
        <v>53</v>
      </c>
      <c r="D15" t="s">
        <v>53</v>
      </c>
      <c r="E15" t="s">
        <v>53</v>
      </c>
      <c r="F15" t="s">
        <v>53</v>
      </c>
      <c r="G15" t="s">
        <v>53</v>
      </c>
      <c r="H15" t="s">
        <v>53</v>
      </c>
      <c r="I15" t="s">
        <v>53</v>
      </c>
      <c r="J15" t="s">
        <v>53</v>
      </c>
      <c r="K15" t="s">
        <v>53</v>
      </c>
      <c r="L15" t="s">
        <v>53</v>
      </c>
      <c r="M15" t="s">
        <v>53</v>
      </c>
      <c r="N15" t="s">
        <v>53</v>
      </c>
    </row>
    <row r="16" spans="1:17" x14ac:dyDescent="0.2">
      <c r="B16" t="s">
        <v>145</v>
      </c>
      <c r="C16" s="54">
        <v>0.2</v>
      </c>
      <c r="D16" s="54">
        <v>0.2</v>
      </c>
      <c r="E16" s="54">
        <v>0.2</v>
      </c>
      <c r="F16" s="54">
        <v>0.2</v>
      </c>
      <c r="G16" s="54">
        <v>0.2</v>
      </c>
      <c r="H16" s="54">
        <v>0.2</v>
      </c>
      <c r="I16" s="54">
        <v>0.2</v>
      </c>
      <c r="J16" s="54">
        <v>0.2</v>
      </c>
      <c r="K16" s="54">
        <v>0.2</v>
      </c>
      <c r="L16" s="54">
        <v>0.2</v>
      </c>
      <c r="M16" s="54">
        <v>0.2</v>
      </c>
      <c r="N16" s="54">
        <v>0.2</v>
      </c>
    </row>
    <row r="17" spans="2:14" x14ac:dyDescent="0.2">
      <c r="B17" t="s">
        <v>146</v>
      </c>
      <c r="C17" t="s">
        <v>138</v>
      </c>
      <c r="D17" t="s">
        <v>138</v>
      </c>
      <c r="E17" t="s">
        <v>138</v>
      </c>
      <c r="F17" t="s">
        <v>138</v>
      </c>
      <c r="G17" t="s">
        <v>138</v>
      </c>
      <c r="H17" t="s">
        <v>138</v>
      </c>
      <c r="I17" t="s">
        <v>138</v>
      </c>
      <c r="J17" t="s">
        <v>138</v>
      </c>
      <c r="K17" t="s">
        <v>138</v>
      </c>
      <c r="L17" t="s">
        <v>138</v>
      </c>
      <c r="M17" t="s">
        <v>138</v>
      </c>
      <c r="N17" t="s">
        <v>138</v>
      </c>
    </row>
    <row r="18" spans="2:14" x14ac:dyDescent="0.2">
      <c r="B18" t="s">
        <v>147</v>
      </c>
      <c r="C18" t="s">
        <v>159</v>
      </c>
      <c r="D18" t="s">
        <v>159</v>
      </c>
      <c r="E18" t="s">
        <v>159</v>
      </c>
      <c r="F18" t="s">
        <v>159</v>
      </c>
      <c r="G18" t="s">
        <v>159</v>
      </c>
      <c r="H18" t="s">
        <v>159</v>
      </c>
      <c r="I18" t="s">
        <v>159</v>
      </c>
      <c r="J18" t="s">
        <v>159</v>
      </c>
      <c r="K18" t="s">
        <v>159</v>
      </c>
      <c r="L18" t="s">
        <v>159</v>
      </c>
      <c r="M18" t="s">
        <v>159</v>
      </c>
      <c r="N18" t="s">
        <v>159</v>
      </c>
    </row>
    <row r="19" spans="2:14" x14ac:dyDescent="0.2">
      <c r="B19" t="s">
        <v>138</v>
      </c>
      <c r="C19" s="58">
        <f t="shared" ref="C19:N19" si="2">KnockOut(C6,C7,C8,C9,C10,C12,C13,C14,C15,C16,C11,C5,$B19,C18)</f>
        <v>0.22420758308240682</v>
      </c>
      <c r="D19" s="58">
        <f t="shared" si="2"/>
        <v>0.21178835583355085</v>
      </c>
      <c r="E19" s="58">
        <f t="shared" si="2"/>
        <v>0.17493184532536077</v>
      </c>
      <c r="F19" s="58">
        <f t="shared" si="2"/>
        <v>0.11310512965059744</v>
      </c>
      <c r="G19" s="58">
        <f t="shared" si="2"/>
        <v>2.9297033197980625E-2</v>
      </c>
      <c r="H19" s="58">
        <f t="shared" si="2"/>
        <v>-7.0122027910928364E-2</v>
      </c>
      <c r="I19" s="58">
        <f t="shared" si="2"/>
        <v>-0.17617746985389826</v>
      </c>
      <c r="J19" s="58">
        <f t="shared" si="2"/>
        <v>-0.27855904291421524</v>
      </c>
      <c r="K19" s="58">
        <f t="shared" si="2"/>
        <v>-0.36712266200966381</v>
      </c>
      <c r="L19" s="58">
        <f t="shared" si="2"/>
        <v>-0.43332831848839276</v>
      </c>
      <c r="M19" s="58">
        <f t="shared" si="2"/>
        <v>-0.47135049617101893</v>
      </c>
      <c r="N19" s="58">
        <f t="shared" si="2"/>
        <v>0</v>
      </c>
    </row>
    <row r="20" spans="2:14" x14ac:dyDescent="0.2">
      <c r="B20" t="s">
        <v>158</v>
      </c>
      <c r="C20" s="58">
        <f t="shared" ref="C20:N20" si="3">KnockOut(C6,C7,C8,C9,C10,C12,C13,C14,C15,C16,C11,C5,$B20,C18)</f>
        <v>8.2134199285785489E-5</v>
      </c>
      <c r="D20" s="58">
        <f t="shared" si="3"/>
        <v>-4.9401810838464429E-4</v>
      </c>
      <c r="E20" s="58">
        <f t="shared" si="3"/>
        <v>-1.1596893604994862E-3</v>
      </c>
      <c r="F20" s="58">
        <f t="shared" si="3"/>
        <v>-1.8319463481257922E-3</v>
      </c>
      <c r="G20" s="58">
        <f t="shared" si="3"/>
        <v>-2.4144115929169616E-3</v>
      </c>
      <c r="H20" s="82">
        <f t="shared" si="3"/>
        <v>-2.8145696337174091E-3</v>
      </c>
      <c r="I20" s="58">
        <f t="shared" si="3"/>
        <v>-2.9612477358825153E-3</v>
      </c>
      <c r="J20" s="58">
        <f t="shared" si="3"/>
        <v>-2.8182011350823093E-3</v>
      </c>
      <c r="K20" s="58">
        <f t="shared" si="3"/>
        <v>-2.3907787930665088E-3</v>
      </c>
      <c r="L20" s="58">
        <f t="shared" si="3"/>
        <v>-1.724461670395935E-3</v>
      </c>
      <c r="M20" s="58">
        <f t="shared" si="3"/>
        <v>-8.9606525244123147E-4</v>
      </c>
      <c r="N20" s="58">
        <f t="shared" si="3"/>
        <v>0</v>
      </c>
    </row>
    <row r="21" spans="2:14" x14ac:dyDescent="0.2">
      <c r="B21" t="s">
        <v>137</v>
      </c>
      <c r="C21" s="58">
        <f t="shared" ref="C21:N21" si="4">KnockOut(C6,C7,C8,C9,C10,C12,C13,C14,C15,C16,C11,C5,$B21,C18)</f>
        <v>2.271641617230832E-2</v>
      </c>
      <c r="D21" s="58">
        <f t="shared" si="4"/>
        <v>2.7160143455187784E-2</v>
      </c>
      <c r="E21" s="58">
        <f t="shared" si="4"/>
        <v>3.1031962760956103E-2</v>
      </c>
      <c r="F21" s="58">
        <f t="shared" si="4"/>
        <v>3.3869614643439745E-2</v>
      </c>
      <c r="G21" s="58">
        <f t="shared" si="4"/>
        <v>3.5259149375450639E-2</v>
      </c>
      <c r="H21" s="58">
        <f t="shared" si="4"/>
        <v>3.4898375126544284E-2</v>
      </c>
      <c r="I21" s="58">
        <f t="shared" si="4"/>
        <v>3.264409763538844E-2</v>
      </c>
      <c r="J21" s="58">
        <f t="shared" si="4"/>
        <v>2.8536667894055567E-2</v>
      </c>
      <c r="K21" s="58">
        <f t="shared" si="4"/>
        <v>2.2797551649069152E-2</v>
      </c>
      <c r="L21" s="58">
        <f t="shared" si="4"/>
        <v>1.5801132747913726E-2</v>
      </c>
      <c r="M21" s="58">
        <f t="shared" si="4"/>
        <v>8.0267513685738888E-3</v>
      </c>
      <c r="N21" s="58">
        <f t="shared" si="4"/>
        <v>0</v>
      </c>
    </row>
    <row r="22" spans="2:14" x14ac:dyDescent="0.2">
      <c r="B22" s="65">
        <v>100000000</v>
      </c>
      <c r="C22" s="69">
        <f t="shared" ref="C22:N22" si="5">C19*$B22</f>
        <v>22420758.308240682</v>
      </c>
      <c r="D22" s="69">
        <f t="shared" si="5"/>
        <v>21178835.583355084</v>
      </c>
      <c r="E22" s="69">
        <f t="shared" si="5"/>
        <v>17493184.532536078</v>
      </c>
      <c r="F22" s="69">
        <f t="shared" si="5"/>
        <v>11310512.965059744</v>
      </c>
      <c r="G22" s="69">
        <f t="shared" si="5"/>
        <v>2929703.3197980626</v>
      </c>
      <c r="H22" s="69">
        <f t="shared" si="5"/>
        <v>-7012202.7910928363</v>
      </c>
      <c r="I22" s="69">
        <f t="shared" si="5"/>
        <v>-17617746.985389825</v>
      </c>
      <c r="J22" s="69">
        <f t="shared" si="5"/>
        <v>-27855904.291421525</v>
      </c>
      <c r="K22" s="69">
        <f t="shared" si="5"/>
        <v>-36712266.200966381</v>
      </c>
      <c r="L22" s="69">
        <f t="shared" si="5"/>
        <v>-43332831.848839276</v>
      </c>
      <c r="M22" s="69">
        <f t="shared" si="5"/>
        <v>-47135049.617101893</v>
      </c>
      <c r="N22" s="69">
        <f t="shared" si="5"/>
        <v>0</v>
      </c>
    </row>
    <row r="23" spans="2:14" x14ac:dyDescent="0.2">
      <c r="B23" t="s">
        <v>223</v>
      </c>
      <c r="C23" s="69">
        <f t="shared" ref="C23:N23" si="6">C20*$B22</f>
        <v>8213.4199285785489</v>
      </c>
      <c r="D23" s="69">
        <f t="shared" si="6"/>
        <v>-49401.810838464429</v>
      </c>
      <c r="E23" s="69">
        <f t="shared" si="6"/>
        <v>-115968.93604994862</v>
      </c>
      <c r="F23" s="69">
        <f t="shared" si="6"/>
        <v>-183194.63481257923</v>
      </c>
      <c r="G23" s="69">
        <f t="shared" si="6"/>
        <v>-241441.15929169615</v>
      </c>
      <c r="H23" s="69">
        <f t="shared" si="6"/>
        <v>-281456.96337174089</v>
      </c>
      <c r="I23" s="69">
        <f t="shared" si="6"/>
        <v>-296124.77358825156</v>
      </c>
      <c r="J23" s="69">
        <f t="shared" si="6"/>
        <v>-281820.11350823095</v>
      </c>
      <c r="K23" s="69">
        <f t="shared" si="6"/>
        <v>-239077.8793066509</v>
      </c>
      <c r="L23" s="69">
        <f t="shared" si="6"/>
        <v>-172446.16703959351</v>
      </c>
      <c r="M23" s="69">
        <f t="shared" si="6"/>
        <v>-89606.525244123142</v>
      </c>
      <c r="N23" s="69">
        <f t="shared" si="6"/>
        <v>0</v>
      </c>
    </row>
    <row r="77" spans="2:14" x14ac:dyDescent="0.2">
      <c r="B77" t="s">
        <v>194</v>
      </c>
      <c r="C77" s="69">
        <f t="shared" ref="C77:N77" si="7">C23</f>
        <v>8213.4199285785489</v>
      </c>
      <c r="D77" s="69">
        <f t="shared" si="7"/>
        <v>-49401.810838464429</v>
      </c>
      <c r="E77" s="69">
        <f t="shared" si="7"/>
        <v>-115968.93604994862</v>
      </c>
      <c r="F77" s="69">
        <f t="shared" si="7"/>
        <v>-183194.63481257923</v>
      </c>
      <c r="G77" s="69">
        <f t="shared" si="7"/>
        <v>-241441.15929169615</v>
      </c>
      <c r="H77" s="69">
        <f t="shared" si="7"/>
        <v>-281456.96337174089</v>
      </c>
      <c r="I77" s="69">
        <f t="shared" si="7"/>
        <v>-296124.77358825156</v>
      </c>
      <c r="J77" s="69">
        <f t="shared" si="7"/>
        <v>-281820.11350823095</v>
      </c>
      <c r="K77" s="69">
        <f t="shared" si="7"/>
        <v>-239077.8793066509</v>
      </c>
      <c r="L77" s="69">
        <f t="shared" si="7"/>
        <v>-172446.16703959351</v>
      </c>
      <c r="M77" s="69">
        <f t="shared" si="7"/>
        <v>-89606.525244123142</v>
      </c>
      <c r="N77" s="69">
        <f t="shared" si="7"/>
        <v>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2"/>
  <dimension ref="A3:N79"/>
  <sheetViews>
    <sheetView topLeftCell="A4" workbookViewId="0">
      <selection activeCell="A45" sqref="A45"/>
    </sheetView>
  </sheetViews>
  <sheetFormatPr defaultRowHeight="12.75" x14ac:dyDescent="0.2"/>
  <cols>
    <col min="2" max="2" width="13.5703125" bestFit="1" customWidth="1"/>
    <col min="3" max="10" width="9.7109375" bestFit="1" customWidth="1"/>
    <col min="11" max="14" width="10.7109375" bestFit="1" customWidth="1"/>
  </cols>
  <sheetData>
    <row r="3" spans="1:14" x14ac:dyDescent="0.2">
      <c r="C3" t="s">
        <v>95</v>
      </c>
      <c r="D3" t="s">
        <v>95</v>
      </c>
      <c r="E3" t="s">
        <v>95</v>
      </c>
      <c r="F3" t="s">
        <v>95</v>
      </c>
      <c r="G3" t="s">
        <v>95</v>
      </c>
      <c r="H3" t="s">
        <v>95</v>
      </c>
      <c r="I3" t="s">
        <v>95</v>
      </c>
      <c r="J3" t="s">
        <v>95</v>
      </c>
      <c r="K3" t="s">
        <v>95</v>
      </c>
      <c r="L3" t="s">
        <v>95</v>
      </c>
      <c r="M3" t="s">
        <v>95</v>
      </c>
      <c r="N3" t="s">
        <v>95</v>
      </c>
    </row>
    <row r="4" spans="1:14" x14ac:dyDescent="0.2">
      <c r="B4" t="s">
        <v>142</v>
      </c>
      <c r="C4" t="s">
        <v>186</v>
      </c>
      <c r="D4" t="s">
        <v>186</v>
      </c>
      <c r="E4" t="s">
        <v>186</v>
      </c>
      <c r="F4" t="s">
        <v>186</v>
      </c>
      <c r="G4" t="s">
        <v>186</v>
      </c>
      <c r="H4" t="s">
        <v>186</v>
      </c>
      <c r="I4" t="s">
        <v>186</v>
      </c>
      <c r="J4" t="s">
        <v>186</v>
      </c>
      <c r="K4" t="s">
        <v>186</v>
      </c>
      <c r="L4" t="s">
        <v>186</v>
      </c>
      <c r="M4" t="s">
        <v>186</v>
      </c>
      <c r="N4" t="s">
        <v>186</v>
      </c>
    </row>
    <row r="5" spans="1:14" x14ac:dyDescent="0.2">
      <c r="B5" t="s">
        <v>63</v>
      </c>
      <c r="C5" s="61">
        <v>41340</v>
      </c>
      <c r="D5" s="61">
        <v>41340</v>
      </c>
      <c r="E5" s="61">
        <v>41340</v>
      </c>
      <c r="F5" s="61">
        <v>41340</v>
      </c>
      <c r="G5" s="61">
        <v>41340</v>
      </c>
      <c r="H5" s="61">
        <v>41340</v>
      </c>
      <c r="I5" s="61">
        <v>41340</v>
      </c>
      <c r="J5" s="61">
        <v>41340</v>
      </c>
      <c r="K5" s="61">
        <v>41340</v>
      </c>
      <c r="L5" s="61">
        <v>41340</v>
      </c>
      <c r="M5" s="61">
        <v>41340</v>
      </c>
      <c r="N5" s="61">
        <v>41340</v>
      </c>
    </row>
    <row r="6" spans="1:14" x14ac:dyDescent="0.2">
      <c r="B6" t="s">
        <v>64</v>
      </c>
      <c r="C6" s="61">
        <v>41430</v>
      </c>
      <c r="D6" s="61">
        <f>C6</f>
        <v>41430</v>
      </c>
      <c r="E6" s="61">
        <f t="shared" ref="E6:N7" si="0">D6</f>
        <v>41430</v>
      </c>
      <c r="F6" s="61">
        <f t="shared" si="0"/>
        <v>41430</v>
      </c>
      <c r="G6" s="61">
        <f t="shared" si="0"/>
        <v>41430</v>
      </c>
      <c r="H6" s="61">
        <f t="shared" si="0"/>
        <v>41430</v>
      </c>
      <c r="I6" s="61">
        <f t="shared" si="0"/>
        <v>41430</v>
      </c>
      <c r="J6" s="61">
        <f t="shared" si="0"/>
        <v>41430</v>
      </c>
      <c r="K6" s="61">
        <f t="shared" si="0"/>
        <v>41430</v>
      </c>
      <c r="L6" s="61">
        <f t="shared" si="0"/>
        <v>41430</v>
      </c>
      <c r="M6" s="61">
        <f t="shared" si="0"/>
        <v>41430</v>
      </c>
      <c r="N6" s="61">
        <f t="shared" si="0"/>
        <v>41430</v>
      </c>
    </row>
    <row r="7" spans="1:14" ht="15" x14ac:dyDescent="0.25">
      <c r="A7" t="s">
        <v>217</v>
      </c>
      <c r="B7" t="s">
        <v>65</v>
      </c>
      <c r="C7" s="83">
        <f>RKO!H65</f>
        <v>109.86446712647293</v>
      </c>
      <c r="D7" s="83">
        <f>C7</f>
        <v>109.86446712647293</v>
      </c>
      <c r="E7" s="57">
        <f t="shared" si="0"/>
        <v>109.86446712647293</v>
      </c>
      <c r="F7" s="57">
        <f t="shared" si="0"/>
        <v>109.86446712647293</v>
      </c>
      <c r="G7" s="57">
        <f t="shared" si="0"/>
        <v>109.86446712647293</v>
      </c>
      <c r="H7" s="57">
        <f t="shared" si="0"/>
        <v>109.86446712647293</v>
      </c>
      <c r="I7" s="57">
        <f t="shared" si="0"/>
        <v>109.86446712647293</v>
      </c>
      <c r="J7" s="57">
        <f t="shared" si="0"/>
        <v>109.86446712647293</v>
      </c>
      <c r="K7" s="57">
        <f t="shared" si="0"/>
        <v>109.86446712647293</v>
      </c>
      <c r="L7" s="57">
        <f t="shared" si="0"/>
        <v>109.86446712647293</v>
      </c>
      <c r="M7" s="57">
        <f t="shared" si="0"/>
        <v>109.86446712647293</v>
      </c>
      <c r="N7" s="57">
        <f t="shared" si="0"/>
        <v>109.86446712647293</v>
      </c>
    </row>
    <row r="8" spans="1:14" x14ac:dyDescent="0.2">
      <c r="A8">
        <v>0</v>
      </c>
      <c r="B8" t="s">
        <v>66</v>
      </c>
      <c r="C8" s="57">
        <v>110</v>
      </c>
      <c r="D8" s="57">
        <f>C8+$A$8</f>
        <v>110</v>
      </c>
      <c r="E8" s="57">
        <f t="shared" ref="E8:N8" si="1">D8+$A$8</f>
        <v>110</v>
      </c>
      <c r="F8" s="57">
        <f t="shared" si="1"/>
        <v>110</v>
      </c>
      <c r="G8" s="57">
        <f t="shared" si="1"/>
        <v>110</v>
      </c>
      <c r="H8" s="57">
        <f t="shared" si="1"/>
        <v>110</v>
      </c>
      <c r="I8" s="57">
        <f t="shared" si="1"/>
        <v>110</v>
      </c>
      <c r="J8" s="57">
        <f t="shared" si="1"/>
        <v>110</v>
      </c>
      <c r="K8" s="57">
        <f t="shared" si="1"/>
        <v>110</v>
      </c>
      <c r="L8" s="57">
        <f t="shared" si="1"/>
        <v>110</v>
      </c>
      <c r="M8" s="57">
        <f t="shared" si="1"/>
        <v>110</v>
      </c>
      <c r="N8" s="57">
        <f t="shared" si="1"/>
        <v>110</v>
      </c>
    </row>
    <row r="9" spans="1:14" x14ac:dyDescent="0.2">
      <c r="B9" t="s">
        <v>67</v>
      </c>
      <c r="C9" s="57">
        <f>C8</f>
        <v>110</v>
      </c>
      <c r="D9" s="57">
        <f t="shared" ref="D9:N9" si="2">D8</f>
        <v>110</v>
      </c>
      <c r="E9" s="57">
        <f t="shared" si="2"/>
        <v>110</v>
      </c>
      <c r="F9" s="57">
        <f t="shared" si="2"/>
        <v>110</v>
      </c>
      <c r="G9" s="57">
        <f t="shared" si="2"/>
        <v>110</v>
      </c>
      <c r="H9" s="57">
        <f t="shared" si="2"/>
        <v>110</v>
      </c>
      <c r="I9" s="57">
        <f t="shared" si="2"/>
        <v>110</v>
      </c>
      <c r="J9" s="57">
        <f t="shared" si="2"/>
        <v>110</v>
      </c>
      <c r="K9" s="57">
        <f t="shared" si="2"/>
        <v>110</v>
      </c>
      <c r="L9" s="57">
        <f t="shared" si="2"/>
        <v>110</v>
      </c>
      <c r="M9" s="57">
        <f t="shared" si="2"/>
        <v>110</v>
      </c>
      <c r="N9" s="57">
        <f t="shared" si="2"/>
        <v>110</v>
      </c>
    </row>
    <row r="10" spans="1:14" x14ac:dyDescent="0.2">
      <c r="B10" t="s">
        <v>143</v>
      </c>
      <c r="C10" s="55">
        <v>0.05</v>
      </c>
      <c r="D10" s="55">
        <v>0.05</v>
      </c>
      <c r="E10" s="55">
        <v>0.05</v>
      </c>
      <c r="F10" s="55">
        <v>0.05</v>
      </c>
      <c r="G10" s="55">
        <v>0.05</v>
      </c>
      <c r="H10" s="55">
        <v>0.05</v>
      </c>
      <c r="I10" s="55">
        <v>0.05</v>
      </c>
      <c r="J10" s="55">
        <v>0.05</v>
      </c>
      <c r="K10" s="55">
        <v>0.05</v>
      </c>
      <c r="L10" s="55">
        <v>0.05</v>
      </c>
      <c r="M10" s="55">
        <v>0.05</v>
      </c>
      <c r="N10" s="55">
        <v>0.05</v>
      </c>
    </row>
    <row r="11" spans="1:14" x14ac:dyDescent="0.2">
      <c r="B11" t="s">
        <v>144</v>
      </c>
      <c r="C11" t="s">
        <v>53</v>
      </c>
      <c r="D11" t="s">
        <v>53</v>
      </c>
      <c r="E11" t="s">
        <v>53</v>
      </c>
      <c r="F11" t="s">
        <v>53</v>
      </c>
      <c r="G11" t="s">
        <v>53</v>
      </c>
      <c r="H11" t="s">
        <v>53</v>
      </c>
      <c r="I11" t="s">
        <v>53</v>
      </c>
      <c r="J11" t="s">
        <v>53</v>
      </c>
      <c r="K11" t="s">
        <v>53</v>
      </c>
      <c r="L11" t="s">
        <v>53</v>
      </c>
      <c r="M11" t="s">
        <v>53</v>
      </c>
      <c r="N11" t="s">
        <v>53</v>
      </c>
    </row>
    <row r="12" spans="1:14" x14ac:dyDescent="0.2">
      <c r="A12" s="54">
        <v>0.09</v>
      </c>
      <c r="B12" t="s">
        <v>145</v>
      </c>
      <c r="C12" s="54">
        <f>A12</f>
        <v>0.09</v>
      </c>
      <c r="D12" s="54">
        <f>C12+$A$13</f>
        <v>9.1999999999999998E-2</v>
      </c>
      <c r="E12" s="54">
        <f t="shared" ref="E12:N12" si="3">D12+$A$13</f>
        <v>9.4E-2</v>
      </c>
      <c r="F12" s="54">
        <f t="shared" si="3"/>
        <v>9.6000000000000002E-2</v>
      </c>
      <c r="G12" s="54">
        <f t="shared" si="3"/>
        <v>9.8000000000000004E-2</v>
      </c>
      <c r="H12" s="54">
        <f t="shared" si="3"/>
        <v>0.1</v>
      </c>
      <c r="I12" s="54">
        <f t="shared" si="3"/>
        <v>0.10200000000000001</v>
      </c>
      <c r="J12" s="54">
        <f t="shared" si="3"/>
        <v>0.10400000000000001</v>
      </c>
      <c r="K12" s="54">
        <f t="shared" si="3"/>
        <v>0.10600000000000001</v>
      </c>
      <c r="L12" s="54">
        <f t="shared" si="3"/>
        <v>0.10800000000000001</v>
      </c>
      <c r="M12" s="54">
        <f t="shared" si="3"/>
        <v>0.11000000000000001</v>
      </c>
      <c r="N12" s="54">
        <f t="shared" si="3"/>
        <v>0.11200000000000002</v>
      </c>
    </row>
    <row r="13" spans="1:14" x14ac:dyDescent="0.2">
      <c r="A13" s="54">
        <v>2E-3</v>
      </c>
      <c r="B13" t="s">
        <v>147</v>
      </c>
      <c r="C13" t="s">
        <v>159</v>
      </c>
      <c r="D13" t="s">
        <v>159</v>
      </c>
      <c r="E13" t="s">
        <v>159</v>
      </c>
      <c r="F13" t="s">
        <v>159</v>
      </c>
      <c r="G13" t="s">
        <v>159</v>
      </c>
      <c r="H13" t="s">
        <v>159</v>
      </c>
      <c r="I13" t="s">
        <v>159</v>
      </c>
      <c r="J13" t="s">
        <v>159</v>
      </c>
      <c r="K13" t="s">
        <v>159</v>
      </c>
      <c r="L13" t="s">
        <v>159</v>
      </c>
      <c r="M13" t="s">
        <v>159</v>
      </c>
      <c r="N13" t="s">
        <v>159</v>
      </c>
    </row>
    <row r="14" spans="1:14" x14ac:dyDescent="0.2">
      <c r="B14" t="s">
        <v>138</v>
      </c>
      <c r="C14" s="58">
        <f t="shared" ref="C14:N14" si="4">Vanilla(C3,C4,C5,C6,C7,C8,C9,C10,C11,C12,$B14,C13)</f>
        <v>0.49541732553615903</v>
      </c>
      <c r="D14" s="58">
        <f t="shared" si="4"/>
        <v>0.49498578943365601</v>
      </c>
      <c r="E14" s="58">
        <f t="shared" si="4"/>
        <v>0.49456429690502285</v>
      </c>
      <c r="F14" s="58">
        <f t="shared" si="4"/>
        <v>0.49415222070229098</v>
      </c>
      <c r="G14" s="58">
        <f t="shared" si="4"/>
        <v>0.49374898475668066</v>
      </c>
      <c r="H14" s="58">
        <f t="shared" si="4"/>
        <v>0.49335405802834786</v>
      </c>
      <c r="I14" s="58">
        <f t="shared" si="4"/>
        <v>0.49296695419219677</v>
      </c>
      <c r="J14" s="58">
        <f t="shared" si="4"/>
        <v>0.49258722137023231</v>
      </c>
      <c r="K14" s="58">
        <f t="shared" si="4"/>
        <v>0.4922144426791577</v>
      </c>
      <c r="L14" s="58">
        <f t="shared" si="4"/>
        <v>0.49184823210542072</v>
      </c>
      <c r="M14" s="58">
        <f t="shared" si="4"/>
        <v>0.49148823170036576</v>
      </c>
      <c r="N14" s="58">
        <f t="shared" si="4"/>
        <v>0.49113410907572219</v>
      </c>
    </row>
    <row r="15" spans="1:14" x14ac:dyDescent="0.2">
      <c r="B15" t="s">
        <v>158</v>
      </c>
      <c r="C15" s="58">
        <f t="shared" ref="C15:N15" si="5">Vanilla(C3,C4,C5,C6,C7,C8,C9,C10,C11,C12,$B15,C13)</f>
        <v>1.9546437872653044E-3</v>
      </c>
      <c r="D15" s="58">
        <f t="shared" si="5"/>
        <v>1.9546538443879677E-3</v>
      </c>
      <c r="E15" s="58">
        <f t="shared" si="5"/>
        <v>1.9546613996735598E-3</v>
      </c>
      <c r="F15" s="58">
        <f t="shared" si="5"/>
        <v>1.9546666196537262E-3</v>
      </c>
      <c r="G15" s="58">
        <f t="shared" si="5"/>
        <v>1.9546696540499548E-3</v>
      </c>
      <c r="H15" s="82">
        <f t="shared" si="5"/>
        <v>1.9546706377696313E-3</v>
      </c>
      <c r="I15" s="58">
        <f t="shared" si="5"/>
        <v>1.9546696926309691E-3</v>
      </c>
      <c r="J15" s="58">
        <f t="shared" si="5"/>
        <v>1.954666928858101E-3</v>
      </c>
      <c r="K15" s="58">
        <f t="shared" si="5"/>
        <v>1.9546624463806766E-3</v>
      </c>
      <c r="L15" s="58">
        <f t="shared" si="5"/>
        <v>1.9546563359666386E-3</v>
      </c>
      <c r="M15" s="58">
        <f t="shared" si="5"/>
        <v>1.9546486802122145E-3</v>
      </c>
      <c r="N15" s="58">
        <f t="shared" si="5"/>
        <v>1.9546395544093186E-3</v>
      </c>
    </row>
    <row r="16" spans="1:14" x14ac:dyDescent="0.2">
      <c r="B16" t="s">
        <v>137</v>
      </c>
      <c r="C16" s="58">
        <f t="shared" ref="C16:N16" si="6">Vanilla(C3,C4,C5,C6,C7,C8,C9,C10,C11,C12,$B16,C13)</f>
        <v>1.8216792348972544E-2</v>
      </c>
      <c r="D16" s="58">
        <f t="shared" si="6"/>
        <v>1.8607724595566696E-2</v>
      </c>
      <c r="E16" s="58">
        <f t="shared" si="6"/>
        <v>1.8998658616792122E-2</v>
      </c>
      <c r="F16" s="58">
        <f t="shared" si="6"/>
        <v>1.9389593928892432E-2</v>
      </c>
      <c r="G16" s="58">
        <f t="shared" si="6"/>
        <v>1.9780530079740153E-2</v>
      </c>
      <c r="H16" s="58">
        <f t="shared" si="6"/>
        <v>2.0171467681341065E-2</v>
      </c>
      <c r="I16" s="58">
        <f t="shared" si="6"/>
        <v>2.0562404207919369E-2</v>
      </c>
      <c r="J16" s="58">
        <f t="shared" si="6"/>
        <v>2.0953340268181037E-2</v>
      </c>
      <c r="K16" s="58">
        <f t="shared" si="6"/>
        <v>2.1344275514330817E-2</v>
      </c>
      <c r="L16" s="58">
        <f t="shared" si="6"/>
        <v>2.1735209617096161E-2</v>
      </c>
      <c r="M16" s="58">
        <f t="shared" si="6"/>
        <v>2.2126142264052587E-2</v>
      </c>
      <c r="N16" s="58">
        <f t="shared" si="6"/>
        <v>2.2517073158130365E-2</v>
      </c>
    </row>
    <row r="17" spans="1:14" x14ac:dyDescent="0.2">
      <c r="B17" s="65">
        <f>RKO!G33</f>
        <v>-303071579.18629223</v>
      </c>
      <c r="C17" s="69">
        <f t="shared" ref="C17:N17" si="7">C15*$B17</f>
        <v>-592396.97935317084</v>
      </c>
      <c r="D17" s="69">
        <f t="shared" si="7"/>
        <v>-592400.0273812185</v>
      </c>
      <c r="E17" s="69">
        <f t="shared" si="7"/>
        <v>-592402.3171735541</v>
      </c>
      <c r="F17" s="69">
        <f t="shared" si="7"/>
        <v>-592403.89920118649</v>
      </c>
      <c r="G17" s="69">
        <f t="shared" si="7"/>
        <v>-592404.81884044327</v>
      </c>
      <c r="H17" s="69">
        <f t="shared" si="7"/>
        <v>-592405.11697791913</v>
      </c>
      <c r="I17" s="69">
        <f t="shared" si="7"/>
        <v>-592404.83053325221</v>
      </c>
      <c r="J17" s="69">
        <f t="shared" si="7"/>
        <v>-592403.99291224463</v>
      </c>
      <c r="K17" s="69">
        <f t="shared" si="7"/>
        <v>-592402.63440073293</v>
      </c>
      <c r="L17" s="69">
        <f t="shared" si="7"/>
        <v>-592400.78250790096</v>
      </c>
      <c r="M17" s="69">
        <f t="shared" si="7"/>
        <v>-592398.4622663178</v>
      </c>
      <c r="N17" s="69">
        <f t="shared" si="7"/>
        <v>-592395.69649482274</v>
      </c>
    </row>
    <row r="19" spans="1:14" x14ac:dyDescent="0.2">
      <c r="C19" t="s">
        <v>95</v>
      </c>
      <c r="D19" t="s">
        <v>95</v>
      </c>
      <c r="E19" t="s">
        <v>95</v>
      </c>
      <c r="F19" t="s">
        <v>95</v>
      </c>
      <c r="G19" t="s">
        <v>95</v>
      </c>
      <c r="H19" t="s">
        <v>95</v>
      </c>
      <c r="I19" t="s">
        <v>95</v>
      </c>
      <c r="J19" t="s">
        <v>95</v>
      </c>
      <c r="K19" t="s">
        <v>95</v>
      </c>
      <c r="L19" t="s">
        <v>95</v>
      </c>
      <c r="M19" t="s">
        <v>95</v>
      </c>
      <c r="N19" t="s">
        <v>95</v>
      </c>
    </row>
    <row r="20" spans="1:14" x14ac:dyDescent="0.2">
      <c r="B20" t="s">
        <v>142</v>
      </c>
      <c r="C20" t="s">
        <v>189</v>
      </c>
      <c r="D20" t="s">
        <v>189</v>
      </c>
      <c r="E20" t="s">
        <v>189</v>
      </c>
      <c r="F20" t="s">
        <v>189</v>
      </c>
      <c r="G20" t="s">
        <v>189</v>
      </c>
      <c r="H20" t="s">
        <v>189</v>
      </c>
      <c r="I20" t="s">
        <v>189</v>
      </c>
      <c r="J20" t="s">
        <v>189</v>
      </c>
      <c r="K20" t="s">
        <v>189</v>
      </c>
      <c r="L20" t="s">
        <v>189</v>
      </c>
      <c r="M20" t="s">
        <v>189</v>
      </c>
      <c r="N20" t="s">
        <v>189</v>
      </c>
    </row>
    <row r="21" spans="1:14" x14ac:dyDescent="0.2">
      <c r="B21" t="s">
        <v>63</v>
      </c>
      <c r="C21" s="61">
        <v>41340</v>
      </c>
      <c r="D21" s="61">
        <v>41340</v>
      </c>
      <c r="E21" s="61">
        <v>41340</v>
      </c>
      <c r="F21" s="61">
        <v>41340</v>
      </c>
      <c r="G21" s="61">
        <v>41340</v>
      </c>
      <c r="H21" s="61">
        <v>41340</v>
      </c>
      <c r="I21" s="61">
        <v>41340</v>
      </c>
      <c r="J21" s="61">
        <v>41340</v>
      </c>
      <c r="K21" s="61">
        <v>41340</v>
      </c>
      <c r="L21" s="61">
        <v>41340</v>
      </c>
      <c r="M21" s="61">
        <v>41340</v>
      </c>
      <c r="N21" s="61">
        <v>41340</v>
      </c>
    </row>
    <row r="22" spans="1:14" x14ac:dyDescent="0.2">
      <c r="B22" t="s">
        <v>64</v>
      </c>
      <c r="C22" s="61">
        <f>C38</f>
        <v>41430</v>
      </c>
      <c r="D22" s="61">
        <f>C22</f>
        <v>41430</v>
      </c>
      <c r="E22" s="61">
        <f t="shared" ref="E22:N22" si="8">D22</f>
        <v>41430</v>
      </c>
      <c r="F22" s="61">
        <f t="shared" si="8"/>
        <v>41430</v>
      </c>
      <c r="G22" s="61">
        <f t="shared" si="8"/>
        <v>41430</v>
      </c>
      <c r="H22" s="61">
        <f t="shared" si="8"/>
        <v>41430</v>
      </c>
      <c r="I22" s="61">
        <f t="shared" si="8"/>
        <v>41430</v>
      </c>
      <c r="J22" s="61">
        <f t="shared" si="8"/>
        <v>41430</v>
      </c>
      <c r="K22" s="61">
        <f t="shared" si="8"/>
        <v>41430</v>
      </c>
      <c r="L22" s="61">
        <f t="shared" si="8"/>
        <v>41430</v>
      </c>
      <c r="M22" s="61">
        <f t="shared" si="8"/>
        <v>41430</v>
      </c>
      <c r="N22" s="61">
        <f t="shared" si="8"/>
        <v>41430</v>
      </c>
    </row>
    <row r="23" spans="1:14" ht="15" x14ac:dyDescent="0.25">
      <c r="A23" t="s">
        <v>234</v>
      </c>
      <c r="B23" t="s">
        <v>65</v>
      </c>
      <c r="C23" s="84">
        <f>RKO!C23</f>
        <v>105.99812308472085</v>
      </c>
      <c r="D23" s="84">
        <f t="shared" ref="D23:N23" si="9">$C$23</f>
        <v>105.99812308472085</v>
      </c>
      <c r="E23" s="62">
        <f t="shared" si="9"/>
        <v>105.99812308472085</v>
      </c>
      <c r="F23" s="62">
        <f t="shared" si="9"/>
        <v>105.99812308472085</v>
      </c>
      <c r="G23" s="62">
        <f t="shared" si="9"/>
        <v>105.99812308472085</v>
      </c>
      <c r="H23" s="62">
        <f t="shared" si="9"/>
        <v>105.99812308472085</v>
      </c>
      <c r="I23" s="62">
        <f t="shared" si="9"/>
        <v>105.99812308472085</v>
      </c>
      <c r="J23" s="62">
        <f t="shared" si="9"/>
        <v>105.99812308472085</v>
      </c>
      <c r="K23" s="62">
        <f t="shared" si="9"/>
        <v>105.99812308472085</v>
      </c>
      <c r="L23" s="62">
        <f t="shared" si="9"/>
        <v>105.99812308472085</v>
      </c>
      <c r="M23" s="62">
        <f t="shared" si="9"/>
        <v>105.99812308472085</v>
      </c>
      <c r="N23" s="62">
        <f t="shared" si="9"/>
        <v>105.99812308472085</v>
      </c>
    </row>
    <row r="24" spans="1:14" x14ac:dyDescent="0.2">
      <c r="B24" t="s">
        <v>66</v>
      </c>
      <c r="C24" s="62">
        <f t="shared" ref="C24:N24" si="10">C8</f>
        <v>110</v>
      </c>
      <c r="D24" s="62">
        <f t="shared" si="10"/>
        <v>110</v>
      </c>
      <c r="E24" s="62">
        <f t="shared" si="10"/>
        <v>110</v>
      </c>
      <c r="F24" s="62">
        <f t="shared" si="10"/>
        <v>110</v>
      </c>
      <c r="G24" s="62">
        <f t="shared" si="10"/>
        <v>110</v>
      </c>
      <c r="H24" s="62">
        <f t="shared" si="10"/>
        <v>110</v>
      </c>
      <c r="I24" s="62">
        <f t="shared" si="10"/>
        <v>110</v>
      </c>
      <c r="J24" s="62">
        <f t="shared" si="10"/>
        <v>110</v>
      </c>
      <c r="K24" s="62">
        <f t="shared" si="10"/>
        <v>110</v>
      </c>
      <c r="L24" s="62">
        <f t="shared" si="10"/>
        <v>110</v>
      </c>
      <c r="M24" s="62">
        <f t="shared" si="10"/>
        <v>110</v>
      </c>
      <c r="N24" s="62">
        <f t="shared" si="10"/>
        <v>110</v>
      </c>
    </row>
    <row r="25" spans="1:14" x14ac:dyDescent="0.2">
      <c r="B25" t="s">
        <v>67</v>
      </c>
      <c r="C25" s="57">
        <f>C24</f>
        <v>110</v>
      </c>
      <c r="D25" s="57">
        <f t="shared" ref="D25:N25" si="11">D24</f>
        <v>110</v>
      </c>
      <c r="E25" s="57">
        <f t="shared" si="11"/>
        <v>110</v>
      </c>
      <c r="F25" s="57">
        <f t="shared" si="11"/>
        <v>110</v>
      </c>
      <c r="G25" s="57">
        <f t="shared" si="11"/>
        <v>110</v>
      </c>
      <c r="H25" s="57">
        <f t="shared" si="11"/>
        <v>110</v>
      </c>
      <c r="I25" s="57">
        <f t="shared" si="11"/>
        <v>110</v>
      </c>
      <c r="J25" s="57">
        <f t="shared" si="11"/>
        <v>110</v>
      </c>
      <c r="K25" s="57">
        <f t="shared" si="11"/>
        <v>110</v>
      </c>
      <c r="L25" s="57">
        <f t="shared" si="11"/>
        <v>110</v>
      </c>
      <c r="M25" s="57">
        <f t="shared" si="11"/>
        <v>110</v>
      </c>
      <c r="N25" s="57">
        <f t="shared" si="11"/>
        <v>110</v>
      </c>
    </row>
    <row r="26" spans="1:14" x14ac:dyDescent="0.2">
      <c r="B26" t="s">
        <v>143</v>
      </c>
      <c r="C26" s="55">
        <v>0.05</v>
      </c>
      <c r="D26" s="55">
        <v>0.05</v>
      </c>
      <c r="E26" s="55">
        <v>0.05</v>
      </c>
      <c r="F26" s="55">
        <v>0.05</v>
      </c>
      <c r="G26" s="55">
        <v>0.05</v>
      </c>
      <c r="H26" s="55">
        <v>0.05</v>
      </c>
      <c r="I26" s="55">
        <v>0.05</v>
      </c>
      <c r="J26" s="55">
        <v>0.05</v>
      </c>
      <c r="K26" s="55">
        <v>0.05</v>
      </c>
      <c r="L26" s="55">
        <v>0.05</v>
      </c>
      <c r="M26" s="55">
        <v>0.05</v>
      </c>
      <c r="N26" s="55">
        <v>0.05</v>
      </c>
    </row>
    <row r="27" spans="1:14" x14ac:dyDescent="0.2">
      <c r="B27" t="s">
        <v>144</v>
      </c>
      <c r="C27" t="s">
        <v>53</v>
      </c>
      <c r="D27" t="s">
        <v>53</v>
      </c>
      <c r="E27" t="s">
        <v>53</v>
      </c>
      <c r="F27" t="s">
        <v>53</v>
      </c>
      <c r="G27" t="s">
        <v>53</v>
      </c>
      <c r="H27" t="s">
        <v>53</v>
      </c>
      <c r="I27" t="s">
        <v>53</v>
      </c>
      <c r="J27" t="s">
        <v>53</v>
      </c>
      <c r="K27" t="s">
        <v>53</v>
      </c>
      <c r="L27" t="s">
        <v>53</v>
      </c>
      <c r="M27" t="s">
        <v>53</v>
      </c>
      <c r="N27" t="s">
        <v>53</v>
      </c>
    </row>
    <row r="28" spans="1:14" x14ac:dyDescent="0.2">
      <c r="A28" s="54">
        <v>9.7500000000000003E-2</v>
      </c>
      <c r="B28" t="s">
        <v>145</v>
      </c>
      <c r="C28" s="54">
        <f>A28</f>
        <v>9.7500000000000003E-2</v>
      </c>
      <c r="D28" s="54">
        <f>C28+$A$13</f>
        <v>9.9500000000000005E-2</v>
      </c>
      <c r="E28" s="54">
        <f t="shared" ref="E28:N28" si="12">D28+$A$13</f>
        <v>0.10150000000000001</v>
      </c>
      <c r="F28" s="54">
        <f t="shared" si="12"/>
        <v>0.10350000000000001</v>
      </c>
      <c r="G28" s="54">
        <f t="shared" si="12"/>
        <v>0.10550000000000001</v>
      </c>
      <c r="H28" s="54">
        <f t="shared" si="12"/>
        <v>0.10750000000000001</v>
      </c>
      <c r="I28" s="54">
        <f t="shared" si="12"/>
        <v>0.10950000000000001</v>
      </c>
      <c r="J28" s="54">
        <f t="shared" si="12"/>
        <v>0.11150000000000002</v>
      </c>
      <c r="K28" s="54">
        <f t="shared" si="12"/>
        <v>0.11350000000000002</v>
      </c>
      <c r="L28" s="54">
        <f t="shared" si="12"/>
        <v>0.11550000000000002</v>
      </c>
      <c r="M28" s="54">
        <f t="shared" si="12"/>
        <v>0.11750000000000002</v>
      </c>
      <c r="N28" s="54">
        <f t="shared" si="12"/>
        <v>0.11950000000000002</v>
      </c>
    </row>
    <row r="29" spans="1:14" x14ac:dyDescent="0.2">
      <c r="A29" s="54">
        <f>A13</f>
        <v>2E-3</v>
      </c>
      <c r="B29" t="s">
        <v>147</v>
      </c>
      <c r="C29" t="s">
        <v>159</v>
      </c>
      <c r="D29" t="s">
        <v>159</v>
      </c>
      <c r="E29" t="s">
        <v>159</v>
      </c>
      <c r="F29" t="s">
        <v>159</v>
      </c>
      <c r="G29" t="s">
        <v>159</v>
      </c>
      <c r="H29" t="s">
        <v>159</v>
      </c>
      <c r="I29" t="s">
        <v>159</v>
      </c>
      <c r="J29" t="s">
        <v>159</v>
      </c>
      <c r="K29" t="s">
        <v>159</v>
      </c>
      <c r="L29" t="s">
        <v>159</v>
      </c>
      <c r="M29" t="s">
        <v>159</v>
      </c>
      <c r="N29" t="s">
        <v>159</v>
      </c>
    </row>
    <row r="30" spans="1:14" x14ac:dyDescent="0.2">
      <c r="B30" t="s">
        <v>138</v>
      </c>
      <c r="C30" s="58">
        <f t="shared" ref="C30:N30" si="13">Vanilla(C19,C20,C21,C22,C23,C24,C25,C26,C27,C28,$B30,C29)</f>
        <v>-0.21826576975540449</v>
      </c>
      <c r="D30" s="58">
        <f t="shared" si="13"/>
        <v>-0.2228756354264029</v>
      </c>
      <c r="E30" s="58">
        <f t="shared" si="13"/>
        <v>-0.22735991239651812</v>
      </c>
      <c r="F30" s="58">
        <f t="shared" si="13"/>
        <v>-0.23172272123742277</v>
      </c>
      <c r="G30" s="58">
        <f t="shared" si="13"/>
        <v>-0.23596811322278788</v>
      </c>
      <c r="H30" s="58">
        <f t="shared" si="13"/>
        <v>-0.24010005570113088</v>
      </c>
      <c r="I30" s="58">
        <f t="shared" si="13"/>
        <v>-0.24412242103861898</v>
      </c>
      <c r="J30" s="58">
        <f t="shared" si="13"/>
        <v>-0.24803897849642331</v>
      </c>
      <c r="K30" s="58">
        <f t="shared" si="13"/>
        <v>-0.25185338851311123</v>
      </c>
      <c r="L30" s="58">
        <f t="shared" si="13"/>
        <v>-0.25556919895112945</v>
      </c>
      <c r="M30" s="58">
        <f t="shared" si="13"/>
        <v>-0.25918984294042835</v>
      </c>
      <c r="N30" s="58">
        <f t="shared" si="13"/>
        <v>-0.26271863801412448</v>
      </c>
    </row>
    <row r="31" spans="1:14" x14ac:dyDescent="0.2">
      <c r="B31" t="s">
        <v>158</v>
      </c>
      <c r="C31" s="58">
        <f t="shared" ref="C31:N31" si="14">Vanilla(C19,C20,C21,C22,C23,C24,C25,C26,C27,C28,$B31,C29)</f>
        <v>1.4328694582223188E-3</v>
      </c>
      <c r="D31" s="58">
        <f t="shared" si="14"/>
        <v>1.4496549303209198E-3</v>
      </c>
      <c r="E31" s="58">
        <f t="shared" si="14"/>
        <v>1.4656362310050584E-3</v>
      </c>
      <c r="F31" s="58">
        <f t="shared" si="14"/>
        <v>1.4808599079045423E-3</v>
      </c>
      <c r="G31" s="58">
        <f t="shared" si="14"/>
        <v>1.4953695741515959E-3</v>
      </c>
      <c r="H31" s="82">
        <f t="shared" si="14"/>
        <v>1.5092060788985692E-3</v>
      </c>
      <c r="I31" s="58">
        <f t="shared" si="14"/>
        <v>1.5224076742601004E-3</v>
      </c>
      <c r="J31" s="58">
        <f t="shared" si="14"/>
        <v>1.5350101769373761E-3</v>
      </c>
      <c r="K31" s="58">
        <f t="shared" si="14"/>
        <v>1.5470471233485384E-3</v>
      </c>
      <c r="L31" s="58">
        <f t="shared" si="14"/>
        <v>1.5585499175201753E-3</v>
      </c>
      <c r="M31" s="58">
        <f t="shared" si="14"/>
        <v>1.569547971320144E-3</v>
      </c>
      <c r="N31" s="58">
        <f t="shared" si="14"/>
        <v>1.5800688368551327E-3</v>
      </c>
    </row>
    <row r="32" spans="1:14" x14ac:dyDescent="0.2">
      <c r="B32" t="s">
        <v>137</v>
      </c>
      <c r="C32" s="58">
        <f t="shared" ref="C32:N32" si="15">Vanilla(C19,C20,C21,C22,C23,C24,C25,C26,C27,C28,$B32,C29)</f>
        <v>5.9948896739231514E-3</v>
      </c>
      <c r="D32" s="58">
        <f t="shared" si="15"/>
        <v>6.2831578435938755E-3</v>
      </c>
      <c r="E32" s="58">
        <f t="shared" si="15"/>
        <v>6.5747019616280329E-3</v>
      </c>
      <c r="F32" s="58">
        <f t="shared" si="15"/>
        <v>6.8693658806609423E-3</v>
      </c>
      <c r="G32" s="58">
        <f t="shared" si="15"/>
        <v>7.1670024676737804E-3</v>
      </c>
      <c r="H32" s="58">
        <f t="shared" si="15"/>
        <v>7.4674730342287939E-3</v>
      </c>
      <c r="I32" s="58">
        <f t="shared" si="15"/>
        <v>7.77064680045927E-3</v>
      </c>
      <c r="J32" s="58">
        <f t="shared" si="15"/>
        <v>8.0764003919219177E-3</v>
      </c>
      <c r="K32" s="58">
        <f t="shared" si="15"/>
        <v>8.3846173681206126E-3</v>
      </c>
      <c r="L32" s="58">
        <f t="shared" si="15"/>
        <v>8.6951877813331961E-3</v>
      </c>
      <c r="M32" s="58">
        <f t="shared" si="15"/>
        <v>9.0080077642438298E-3</v>
      </c>
      <c r="N32" s="58">
        <f t="shared" si="15"/>
        <v>9.3229791448352865E-3</v>
      </c>
    </row>
    <row r="33" spans="1:14" x14ac:dyDescent="0.2">
      <c r="B33" s="65">
        <f>RKO!G31</f>
        <v>8482742.4120964333</v>
      </c>
      <c r="C33" s="69">
        <f t="shared" ref="C33:N33" si="16">C31*$B33</f>
        <v>12154.662524260102</v>
      </c>
      <c r="D33" s="69">
        <f t="shared" si="16"/>
        <v>12297.049360337965</v>
      </c>
      <c r="E33" s="69">
        <f t="shared" si="16"/>
        <v>12432.614617451774</v>
      </c>
      <c r="F33" s="69">
        <f t="shared" si="16"/>
        <v>12561.753147155079</v>
      </c>
      <c r="G33" s="69">
        <f t="shared" si="16"/>
        <v>12684.834908414325</v>
      </c>
      <c r="H33" s="69">
        <f t="shared" si="16"/>
        <v>12802.20641406665</v>
      </c>
      <c r="I33" s="69">
        <f t="shared" si="16"/>
        <v>12914.192146947245</v>
      </c>
      <c r="J33" s="69">
        <f t="shared" si="16"/>
        <v>13021.095930906331</v>
      </c>
      <c r="K33" s="69">
        <f t="shared" si="16"/>
        <v>13123.202246740429</v>
      </c>
      <c r="L33" s="69">
        <f t="shared" si="16"/>
        <v>13220.777486717789</v>
      </c>
      <c r="M33" s="69">
        <f t="shared" si="16"/>
        <v>13314.071144137302</v>
      </c>
      <c r="N33" s="69">
        <f t="shared" si="16"/>
        <v>13403.316936422914</v>
      </c>
    </row>
    <row r="35" spans="1:14" x14ac:dyDescent="0.2">
      <c r="C35" t="s">
        <v>95</v>
      </c>
      <c r="D35" t="s">
        <v>95</v>
      </c>
      <c r="E35" t="s">
        <v>95</v>
      </c>
      <c r="F35" t="s">
        <v>95</v>
      </c>
      <c r="G35" t="s">
        <v>95</v>
      </c>
      <c r="H35" t="s">
        <v>95</v>
      </c>
      <c r="I35" t="s">
        <v>95</v>
      </c>
      <c r="J35" t="s">
        <v>95</v>
      </c>
      <c r="K35" t="s">
        <v>95</v>
      </c>
      <c r="L35" t="s">
        <v>95</v>
      </c>
      <c r="M35" t="s">
        <v>95</v>
      </c>
      <c r="N35" t="s">
        <v>95</v>
      </c>
    </row>
    <row r="36" spans="1:14" x14ac:dyDescent="0.2">
      <c r="B36" t="s">
        <v>142</v>
      </c>
      <c r="C36" t="s">
        <v>186</v>
      </c>
      <c r="D36" t="s">
        <v>186</v>
      </c>
      <c r="E36" t="s">
        <v>186</v>
      </c>
      <c r="F36" t="s">
        <v>186</v>
      </c>
      <c r="G36" t="s">
        <v>186</v>
      </c>
      <c r="H36" t="s">
        <v>186</v>
      </c>
      <c r="I36" t="s">
        <v>186</v>
      </c>
      <c r="J36" t="s">
        <v>186</v>
      </c>
      <c r="K36" t="s">
        <v>186</v>
      </c>
      <c r="L36" t="s">
        <v>186</v>
      </c>
      <c r="M36" t="s">
        <v>186</v>
      </c>
      <c r="N36" t="s">
        <v>186</v>
      </c>
    </row>
    <row r="37" spans="1:14" x14ac:dyDescent="0.2">
      <c r="B37" t="s">
        <v>63</v>
      </c>
      <c r="C37" s="61">
        <v>41340</v>
      </c>
      <c r="D37" s="61">
        <v>41340</v>
      </c>
      <c r="E37" s="61">
        <v>41340</v>
      </c>
      <c r="F37" s="61">
        <v>41340</v>
      </c>
      <c r="G37" s="61">
        <v>41340</v>
      </c>
      <c r="H37" s="61">
        <v>41340</v>
      </c>
      <c r="I37" s="61">
        <v>41340</v>
      </c>
      <c r="J37" s="61">
        <v>41340</v>
      </c>
      <c r="K37" s="61">
        <v>41340</v>
      </c>
      <c r="L37" s="61">
        <v>41340</v>
      </c>
      <c r="M37" s="61">
        <v>41340</v>
      </c>
      <c r="N37" s="61">
        <v>41340</v>
      </c>
    </row>
    <row r="38" spans="1:14" x14ac:dyDescent="0.2">
      <c r="B38" t="s">
        <v>64</v>
      </c>
      <c r="C38" s="61">
        <v>41430</v>
      </c>
      <c r="D38" s="61">
        <f>C38</f>
        <v>41430</v>
      </c>
      <c r="E38" s="61">
        <f t="shared" ref="E38:N39" si="17">D38</f>
        <v>41430</v>
      </c>
      <c r="F38" s="61">
        <f t="shared" si="17"/>
        <v>41430</v>
      </c>
      <c r="G38" s="61">
        <f t="shared" si="17"/>
        <v>41430</v>
      </c>
      <c r="H38" s="61">
        <f t="shared" si="17"/>
        <v>41430</v>
      </c>
      <c r="I38" s="61">
        <f t="shared" si="17"/>
        <v>41430</v>
      </c>
      <c r="J38" s="61">
        <f t="shared" si="17"/>
        <v>41430</v>
      </c>
      <c r="K38" s="61">
        <f t="shared" si="17"/>
        <v>41430</v>
      </c>
      <c r="L38" s="61">
        <f t="shared" si="17"/>
        <v>41430</v>
      </c>
      <c r="M38" s="61">
        <f t="shared" si="17"/>
        <v>41430</v>
      </c>
      <c r="N38" s="61">
        <f t="shared" si="17"/>
        <v>41430</v>
      </c>
    </row>
    <row r="39" spans="1:14" ht="15" x14ac:dyDescent="0.25">
      <c r="A39" t="s">
        <v>235</v>
      </c>
      <c r="B39" t="s">
        <v>65</v>
      </c>
      <c r="C39" s="83">
        <f>RKO!C6</f>
        <v>113.98252701652383</v>
      </c>
      <c r="D39" s="84">
        <f>C39</f>
        <v>113.98252701652383</v>
      </c>
      <c r="E39" s="57">
        <f>D39</f>
        <v>113.98252701652383</v>
      </c>
      <c r="F39" s="57">
        <f t="shared" si="17"/>
        <v>113.98252701652383</v>
      </c>
      <c r="G39" s="57">
        <f t="shared" si="17"/>
        <v>113.98252701652383</v>
      </c>
      <c r="H39" s="57">
        <f t="shared" si="17"/>
        <v>113.98252701652383</v>
      </c>
      <c r="I39" s="57">
        <f t="shared" si="17"/>
        <v>113.98252701652383</v>
      </c>
      <c r="J39" s="57">
        <f t="shared" si="17"/>
        <v>113.98252701652383</v>
      </c>
      <c r="K39" s="57">
        <f t="shared" si="17"/>
        <v>113.98252701652383</v>
      </c>
      <c r="L39" s="57">
        <f t="shared" si="17"/>
        <v>113.98252701652383</v>
      </c>
      <c r="M39" s="57">
        <f t="shared" si="17"/>
        <v>113.98252701652383</v>
      </c>
      <c r="N39" s="57">
        <f t="shared" si="17"/>
        <v>113.98252701652383</v>
      </c>
    </row>
    <row r="40" spans="1:14" x14ac:dyDescent="0.2">
      <c r="B40" t="s">
        <v>66</v>
      </c>
      <c r="C40" s="57">
        <f t="shared" ref="C40:N40" si="18">C8</f>
        <v>110</v>
      </c>
      <c r="D40" s="57">
        <f t="shared" si="18"/>
        <v>110</v>
      </c>
      <c r="E40" s="57">
        <f t="shared" si="18"/>
        <v>110</v>
      </c>
      <c r="F40" s="57">
        <f t="shared" si="18"/>
        <v>110</v>
      </c>
      <c r="G40" s="57">
        <f t="shared" si="18"/>
        <v>110</v>
      </c>
      <c r="H40" s="57">
        <f t="shared" si="18"/>
        <v>110</v>
      </c>
      <c r="I40" s="57">
        <f t="shared" si="18"/>
        <v>110</v>
      </c>
      <c r="J40" s="57">
        <f t="shared" si="18"/>
        <v>110</v>
      </c>
      <c r="K40" s="57">
        <f t="shared" si="18"/>
        <v>110</v>
      </c>
      <c r="L40" s="57">
        <f t="shared" si="18"/>
        <v>110</v>
      </c>
      <c r="M40" s="57">
        <f t="shared" si="18"/>
        <v>110</v>
      </c>
      <c r="N40" s="57">
        <f t="shared" si="18"/>
        <v>110</v>
      </c>
    </row>
    <row r="41" spans="1:14" x14ac:dyDescent="0.2">
      <c r="B41" t="s">
        <v>67</v>
      </c>
      <c r="C41" s="57">
        <f>C40</f>
        <v>110</v>
      </c>
      <c r="D41" s="57">
        <f t="shared" ref="D41:N41" si="19">D40</f>
        <v>110</v>
      </c>
      <c r="E41" s="57">
        <f t="shared" si="19"/>
        <v>110</v>
      </c>
      <c r="F41" s="57">
        <f t="shared" si="19"/>
        <v>110</v>
      </c>
      <c r="G41" s="57">
        <f t="shared" si="19"/>
        <v>110</v>
      </c>
      <c r="H41" s="57">
        <f t="shared" si="19"/>
        <v>110</v>
      </c>
      <c r="I41" s="57">
        <f t="shared" si="19"/>
        <v>110</v>
      </c>
      <c r="J41" s="57">
        <f t="shared" si="19"/>
        <v>110</v>
      </c>
      <c r="K41" s="57">
        <f t="shared" si="19"/>
        <v>110</v>
      </c>
      <c r="L41" s="57">
        <f t="shared" si="19"/>
        <v>110</v>
      </c>
      <c r="M41" s="57">
        <f t="shared" si="19"/>
        <v>110</v>
      </c>
      <c r="N41" s="57">
        <f t="shared" si="19"/>
        <v>110</v>
      </c>
    </row>
    <row r="42" spans="1:14" x14ac:dyDescent="0.2">
      <c r="B42" t="s">
        <v>143</v>
      </c>
      <c r="C42" s="55">
        <v>0.05</v>
      </c>
      <c r="D42" s="55">
        <v>0.05</v>
      </c>
      <c r="E42" s="55">
        <v>0.05</v>
      </c>
      <c r="F42" s="55">
        <v>0.05</v>
      </c>
      <c r="G42" s="55">
        <v>0.05</v>
      </c>
      <c r="H42" s="55">
        <v>0.05</v>
      </c>
      <c r="I42" s="55">
        <v>0.05</v>
      </c>
      <c r="J42" s="55">
        <v>0.05</v>
      </c>
      <c r="K42" s="55">
        <v>0.05</v>
      </c>
      <c r="L42" s="55">
        <v>0.05</v>
      </c>
      <c r="M42" s="55">
        <v>0.05</v>
      </c>
      <c r="N42" s="55">
        <v>0.05</v>
      </c>
    </row>
    <row r="43" spans="1:14" x14ac:dyDescent="0.2">
      <c r="B43" t="s">
        <v>144</v>
      </c>
      <c r="C43" t="s">
        <v>53</v>
      </c>
      <c r="D43" t="s">
        <v>53</v>
      </c>
      <c r="E43" t="s">
        <v>53</v>
      </c>
      <c r="F43" t="s">
        <v>53</v>
      </c>
      <c r="G43" t="s">
        <v>53</v>
      </c>
      <c r="H43" t="s">
        <v>53</v>
      </c>
      <c r="I43" t="s">
        <v>53</v>
      </c>
      <c r="J43" t="s">
        <v>53</v>
      </c>
      <c r="K43" t="s">
        <v>53</v>
      </c>
      <c r="L43" t="s">
        <v>53</v>
      </c>
      <c r="M43" t="s">
        <v>53</v>
      </c>
      <c r="N43" t="s">
        <v>53</v>
      </c>
    </row>
    <row r="44" spans="1:14" x14ac:dyDescent="0.2">
      <c r="A44" s="54">
        <v>0.10249999999999999</v>
      </c>
      <c r="B44" t="s">
        <v>145</v>
      </c>
      <c r="C44" s="54">
        <f>A44</f>
        <v>0.10249999999999999</v>
      </c>
      <c r="D44" s="54">
        <f>C44+$A$13</f>
        <v>0.1045</v>
      </c>
      <c r="E44" s="54">
        <f t="shared" ref="E44:N44" si="20">D44+$A$13</f>
        <v>0.1065</v>
      </c>
      <c r="F44" s="54">
        <f t="shared" si="20"/>
        <v>0.1085</v>
      </c>
      <c r="G44" s="54">
        <f t="shared" si="20"/>
        <v>0.1105</v>
      </c>
      <c r="H44" s="54">
        <f t="shared" si="20"/>
        <v>0.1125</v>
      </c>
      <c r="I44" s="54">
        <f t="shared" si="20"/>
        <v>0.1145</v>
      </c>
      <c r="J44" s="54">
        <f t="shared" si="20"/>
        <v>0.11650000000000001</v>
      </c>
      <c r="K44" s="54">
        <f t="shared" si="20"/>
        <v>0.11850000000000001</v>
      </c>
      <c r="L44" s="54">
        <f t="shared" si="20"/>
        <v>0.12050000000000001</v>
      </c>
      <c r="M44" s="54">
        <f t="shared" si="20"/>
        <v>0.12250000000000001</v>
      </c>
      <c r="N44" s="54">
        <f t="shared" si="20"/>
        <v>0.12450000000000001</v>
      </c>
    </row>
    <row r="45" spans="1:14" x14ac:dyDescent="0.2">
      <c r="A45" s="54">
        <f>A29</f>
        <v>2E-3</v>
      </c>
      <c r="B45" t="s">
        <v>147</v>
      </c>
      <c r="C45" t="s">
        <v>159</v>
      </c>
      <c r="D45" t="s">
        <v>159</v>
      </c>
      <c r="E45" t="s">
        <v>159</v>
      </c>
      <c r="F45" t="s">
        <v>159</v>
      </c>
      <c r="G45" t="s">
        <v>159</v>
      </c>
      <c r="H45" t="s">
        <v>159</v>
      </c>
      <c r="I45" t="s">
        <v>159</v>
      </c>
      <c r="J45" t="s">
        <v>159</v>
      </c>
      <c r="K45" t="s">
        <v>159</v>
      </c>
      <c r="L45" t="s">
        <v>159</v>
      </c>
      <c r="M45" t="s">
        <v>159</v>
      </c>
      <c r="N45" t="s">
        <v>159</v>
      </c>
    </row>
    <row r="46" spans="1:14" x14ac:dyDescent="0.2">
      <c r="B46" t="s">
        <v>138</v>
      </c>
      <c r="C46" s="58">
        <f t="shared" ref="C46:N46" si="21">Vanilla(C35,C36,C37,C38,C39,C40,C41,C42,C43,C44,$B46,C45)</f>
        <v>0.24002716005597369</v>
      </c>
      <c r="D46" s="58">
        <f t="shared" si="21"/>
        <v>0.24409169556302421</v>
      </c>
      <c r="E46" s="58">
        <f t="shared" si="21"/>
        <v>0.24803292964231086</v>
      </c>
      <c r="F46" s="58">
        <f t="shared" si="21"/>
        <v>0.25185532963285351</v>
      </c>
      <c r="G46" s="58">
        <f t="shared" si="21"/>
        <v>0.255563218363827</v>
      </c>
      <c r="H46" s="58">
        <f t="shared" si="21"/>
        <v>0.25916077146979766</v>
      </c>
      <c r="I46" s="58">
        <f t="shared" si="21"/>
        <v>0.262652016469761</v>
      </c>
      <c r="J46" s="58">
        <f t="shared" si="21"/>
        <v>0.26604083324795391</v>
      </c>
      <c r="K46" s="58">
        <f t="shared" si="21"/>
        <v>0.26933095563864523</v>
      </c>
      <c r="L46" s="58">
        <f t="shared" si="21"/>
        <v>0.27252597387031641</v>
      </c>
      <c r="M46" s="58">
        <f t="shared" si="21"/>
        <v>0.2756293376686878</v>
      </c>
      <c r="N46" s="58">
        <f t="shared" si="21"/>
        <v>0.27864435985450697</v>
      </c>
    </row>
    <row r="47" spans="1:14" x14ac:dyDescent="0.2">
      <c r="B47" t="s">
        <v>158</v>
      </c>
      <c r="C47" s="58">
        <f t="shared" ref="C47:N47" si="22">Vanilla(C35,C36,C37,C38,C39,C40,C41,C42,C43,C44,$B47,C45)</f>
        <v>1.5601587012573448E-3</v>
      </c>
      <c r="D47" s="58">
        <f t="shared" si="22"/>
        <v>1.5746450585322853E-3</v>
      </c>
      <c r="E47" s="58">
        <f t="shared" si="22"/>
        <v>1.588444884884555E-3</v>
      </c>
      <c r="F47" s="58">
        <f t="shared" si="22"/>
        <v>1.6015982698157321E-3</v>
      </c>
      <c r="G47" s="58">
        <f t="shared" si="22"/>
        <v>1.6141426491520325E-3</v>
      </c>
      <c r="H47" s="82">
        <f t="shared" si="22"/>
        <v>1.6261129860708145E-3</v>
      </c>
      <c r="I47" s="58">
        <f t="shared" si="22"/>
        <v>1.6375419417605746E-3</v>
      </c>
      <c r="J47" s="58">
        <f t="shared" si="22"/>
        <v>1.6484600356730323E-3</v>
      </c>
      <c r="K47" s="58">
        <f t="shared" si="22"/>
        <v>1.658895795525442E-3</v>
      </c>
      <c r="L47" s="58">
        <f t="shared" si="22"/>
        <v>1.6688758973512092E-3</v>
      </c>
      <c r="M47" s="58">
        <f t="shared" si="22"/>
        <v>1.6784252959916399E-3</v>
      </c>
      <c r="N47" s="58">
        <f t="shared" si="22"/>
        <v>1.6875673464823058E-3</v>
      </c>
    </row>
    <row r="48" spans="1:14" x14ac:dyDescent="0.2">
      <c r="B48" t="s">
        <v>137</v>
      </c>
      <c r="C48" s="58">
        <f t="shared" ref="C48:N48" si="23">Vanilla(C35,C36,C37,C38,C39,C40,C41,C42,C43,C44,$B48,C45)</f>
        <v>7.3274918648808876E-3</v>
      </c>
      <c r="D48" s="58">
        <f t="shared" si="23"/>
        <v>7.6409862250894842E-3</v>
      </c>
      <c r="E48" s="58">
        <f t="shared" si="23"/>
        <v>7.957308509162337E-3</v>
      </c>
      <c r="F48" s="58">
        <f t="shared" si="23"/>
        <v>8.2763254513822781E-3</v>
      </c>
      <c r="G48" s="58">
        <f t="shared" si="23"/>
        <v>8.5979115368004528E-3</v>
      </c>
      <c r="H48" s="58">
        <f t="shared" si="23"/>
        <v>8.9219484887254983E-3</v>
      </c>
      <c r="I48" s="58">
        <f t="shared" si="23"/>
        <v>9.2483247913777659E-3</v>
      </c>
      <c r="J48" s="58">
        <f t="shared" si="23"/>
        <v>9.5769352456250186E-3</v>
      </c>
      <c r="K48" s="58">
        <f t="shared" si="23"/>
        <v>9.9076805557376229E-3</v>
      </c>
      <c r="L48" s="58">
        <f t="shared" si="23"/>
        <v>1.0240466945139363E-2</v>
      </c>
      <c r="M48" s="58">
        <f t="shared" si="23"/>
        <v>1.0575205799207446E-2</v>
      </c>
      <c r="N48" s="58">
        <f t="shared" si="23"/>
        <v>1.0911813333250869E-2</v>
      </c>
    </row>
    <row r="49" spans="2:14" x14ac:dyDescent="0.2">
      <c r="B49" s="65">
        <f>RKO!G32</f>
        <v>669199762.01759923</v>
      </c>
      <c r="C49" s="69">
        <f t="shared" ref="C49:N49" si="24">C47*$B49</f>
        <v>1044057.8315911018</v>
      </c>
      <c r="D49" s="69">
        <f t="shared" si="24"/>
        <v>1053752.098431994</v>
      </c>
      <c r="E49" s="69">
        <f t="shared" si="24"/>
        <v>1062986.938942817</v>
      </c>
      <c r="F49" s="69">
        <f t="shared" si="24"/>
        <v>1071789.1810084865</v>
      </c>
      <c r="G49" s="69">
        <f t="shared" si="24"/>
        <v>1080183.8766749974</v>
      </c>
      <c r="H49" s="69">
        <f t="shared" si="24"/>
        <v>1088194.4232923167</v>
      </c>
      <c r="I49" s="69">
        <f t="shared" si="24"/>
        <v>1095842.6777200138</v>
      </c>
      <c r="J49" s="69">
        <f t="shared" si="24"/>
        <v>1103149.0635679164</v>
      </c>
      <c r="K49" s="69">
        <f t="shared" si="24"/>
        <v>1110132.6715776217</v>
      </c>
      <c r="L49" s="69">
        <f t="shared" si="24"/>
        <v>1116811.3533443366</v>
      </c>
      <c r="M49" s="69">
        <f t="shared" si="24"/>
        <v>1123201.8086419241</v>
      </c>
      <c r="N49" s="69">
        <f t="shared" si="24"/>
        <v>1129319.6666546306</v>
      </c>
    </row>
    <row r="52" spans="2:14" x14ac:dyDescent="0.2">
      <c r="B52" t="s">
        <v>191</v>
      </c>
      <c r="C52" s="58">
        <f>C12</f>
        <v>0.09</v>
      </c>
      <c r="D52" s="58">
        <f t="shared" ref="D52:N52" si="25">D12</f>
        <v>9.1999999999999998E-2</v>
      </c>
      <c r="E52" s="58">
        <f t="shared" si="25"/>
        <v>9.4E-2</v>
      </c>
      <c r="F52" s="58">
        <f t="shared" si="25"/>
        <v>9.6000000000000002E-2</v>
      </c>
      <c r="G52" s="58">
        <f t="shared" si="25"/>
        <v>9.8000000000000004E-2</v>
      </c>
      <c r="H52" s="58">
        <f t="shared" si="25"/>
        <v>0.1</v>
      </c>
      <c r="I52" s="58">
        <f t="shared" si="25"/>
        <v>0.10200000000000001</v>
      </c>
      <c r="J52" s="58">
        <f t="shared" si="25"/>
        <v>0.10400000000000001</v>
      </c>
      <c r="K52" s="58">
        <f t="shared" si="25"/>
        <v>0.10600000000000001</v>
      </c>
      <c r="L52" s="58">
        <f t="shared" si="25"/>
        <v>0.10800000000000001</v>
      </c>
      <c r="M52" s="58">
        <f t="shared" si="25"/>
        <v>0.11000000000000001</v>
      </c>
      <c r="N52" s="58">
        <f t="shared" si="25"/>
        <v>0.11200000000000002</v>
      </c>
    </row>
    <row r="53" spans="2:14" x14ac:dyDescent="0.2">
      <c r="B53" t="s">
        <v>228</v>
      </c>
      <c r="C53" s="65">
        <f>C49+C33+C17</f>
        <v>463815.5147621911</v>
      </c>
      <c r="D53" s="65">
        <f t="shared" ref="D53:N53" si="26">D49+D33+D17</f>
        <v>473649.12041111337</v>
      </c>
      <c r="E53" s="65">
        <f t="shared" si="26"/>
        <v>483017.23638671474</v>
      </c>
      <c r="F53" s="65">
        <f t="shared" si="26"/>
        <v>491947.0349544551</v>
      </c>
      <c r="G53" s="65">
        <f t="shared" si="26"/>
        <v>500463.89274296851</v>
      </c>
      <c r="H53" s="65">
        <f t="shared" si="26"/>
        <v>508591.51272846432</v>
      </c>
      <c r="I53" s="65">
        <f t="shared" si="26"/>
        <v>516352.0393337087</v>
      </c>
      <c r="J53" s="65">
        <f t="shared" si="26"/>
        <v>523766.16658657801</v>
      </c>
      <c r="K53" s="65">
        <f t="shared" si="26"/>
        <v>530853.23942362925</v>
      </c>
      <c r="L53" s="65">
        <f t="shared" si="26"/>
        <v>537631.34832315345</v>
      </c>
      <c r="M53" s="65">
        <f t="shared" si="26"/>
        <v>544117.41751974355</v>
      </c>
      <c r="N53" s="65">
        <f t="shared" si="26"/>
        <v>550327.28709623066</v>
      </c>
    </row>
    <row r="54" spans="2:14" x14ac:dyDescent="0.2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</row>
    <row r="56" spans="2:14" x14ac:dyDescent="0.2">
      <c r="C56" t="s">
        <v>188</v>
      </c>
      <c r="D56" t="s">
        <v>188</v>
      </c>
      <c r="E56" t="s">
        <v>188</v>
      </c>
      <c r="F56" t="s">
        <v>188</v>
      </c>
      <c r="G56" t="s">
        <v>188</v>
      </c>
      <c r="H56" t="s">
        <v>188</v>
      </c>
      <c r="I56" t="s">
        <v>188</v>
      </c>
      <c r="J56" t="s">
        <v>188</v>
      </c>
      <c r="K56" t="s">
        <v>188</v>
      </c>
      <c r="L56" t="s">
        <v>188</v>
      </c>
      <c r="M56" t="s">
        <v>188</v>
      </c>
      <c r="N56" t="s">
        <v>188</v>
      </c>
    </row>
    <row r="57" spans="2:14" x14ac:dyDescent="0.2">
      <c r="C57">
        <v>80</v>
      </c>
      <c r="D57">
        <v>80</v>
      </c>
      <c r="E57">
        <v>80</v>
      </c>
      <c r="F57">
        <v>80</v>
      </c>
      <c r="G57">
        <v>80</v>
      </c>
      <c r="H57">
        <v>80</v>
      </c>
      <c r="I57">
        <v>80</v>
      </c>
      <c r="J57">
        <v>80</v>
      </c>
      <c r="K57">
        <v>80</v>
      </c>
      <c r="L57">
        <v>80</v>
      </c>
      <c r="M57">
        <v>80</v>
      </c>
      <c r="N57">
        <v>80</v>
      </c>
    </row>
    <row r="58" spans="2:14" x14ac:dyDescent="0.2">
      <c r="C58" t="s">
        <v>95</v>
      </c>
      <c r="D58" t="s">
        <v>95</v>
      </c>
      <c r="E58" t="s">
        <v>95</v>
      </c>
      <c r="F58" t="s">
        <v>95</v>
      </c>
      <c r="G58" t="s">
        <v>95</v>
      </c>
      <c r="H58" t="s">
        <v>95</v>
      </c>
      <c r="I58" t="s">
        <v>95</v>
      </c>
      <c r="J58" t="s">
        <v>95</v>
      </c>
      <c r="K58" t="s">
        <v>95</v>
      </c>
      <c r="L58" t="s">
        <v>95</v>
      </c>
      <c r="M58" t="s">
        <v>95</v>
      </c>
      <c r="N58" t="s">
        <v>95</v>
      </c>
    </row>
    <row r="59" spans="2:14" x14ac:dyDescent="0.2">
      <c r="B59" t="s">
        <v>142</v>
      </c>
      <c r="C59" t="s">
        <v>186</v>
      </c>
      <c r="D59" t="s">
        <v>186</v>
      </c>
      <c r="E59" t="s">
        <v>186</v>
      </c>
      <c r="F59" t="s">
        <v>186</v>
      </c>
      <c r="G59" t="s">
        <v>186</v>
      </c>
      <c r="H59" t="s">
        <v>186</v>
      </c>
      <c r="I59" t="s">
        <v>186</v>
      </c>
      <c r="J59" t="s">
        <v>186</v>
      </c>
      <c r="K59" t="s">
        <v>186</v>
      </c>
      <c r="L59" t="s">
        <v>186</v>
      </c>
      <c r="M59" t="s">
        <v>186</v>
      </c>
      <c r="N59" t="s">
        <v>186</v>
      </c>
    </row>
    <row r="60" spans="2:14" x14ac:dyDescent="0.2">
      <c r="B60" t="s">
        <v>63</v>
      </c>
      <c r="C60" s="61">
        <v>41340</v>
      </c>
      <c r="D60" s="61">
        <v>41340</v>
      </c>
      <c r="E60" s="61">
        <v>41340</v>
      </c>
      <c r="F60" s="61">
        <v>41340</v>
      </c>
      <c r="G60" s="61">
        <v>41340</v>
      </c>
      <c r="H60" s="61">
        <v>41340</v>
      </c>
      <c r="I60" s="61">
        <v>41340</v>
      </c>
      <c r="J60" s="61">
        <v>41340</v>
      </c>
      <c r="K60" s="61">
        <v>41340</v>
      </c>
      <c r="L60" s="61">
        <v>41340</v>
      </c>
      <c r="M60" s="61">
        <v>41340</v>
      </c>
      <c r="N60" s="61">
        <v>41340</v>
      </c>
    </row>
    <row r="61" spans="2:14" x14ac:dyDescent="0.2">
      <c r="B61" t="s">
        <v>64</v>
      </c>
      <c r="C61" s="61">
        <f t="shared" ref="C61:N61" si="27">C22</f>
        <v>41430</v>
      </c>
      <c r="D61" s="61">
        <f t="shared" si="27"/>
        <v>41430</v>
      </c>
      <c r="E61" s="61">
        <f t="shared" si="27"/>
        <v>41430</v>
      </c>
      <c r="F61" s="61">
        <f t="shared" si="27"/>
        <v>41430</v>
      </c>
      <c r="G61" s="61">
        <f t="shared" si="27"/>
        <v>41430</v>
      </c>
      <c r="H61" s="61">
        <f t="shared" si="27"/>
        <v>41430</v>
      </c>
      <c r="I61" s="61">
        <f t="shared" si="27"/>
        <v>41430</v>
      </c>
      <c r="J61" s="61">
        <f t="shared" si="27"/>
        <v>41430</v>
      </c>
      <c r="K61" s="61">
        <f t="shared" si="27"/>
        <v>41430</v>
      </c>
      <c r="L61" s="61">
        <f t="shared" si="27"/>
        <v>41430</v>
      </c>
      <c r="M61" s="61">
        <f t="shared" si="27"/>
        <v>41430</v>
      </c>
      <c r="N61" s="61">
        <f t="shared" si="27"/>
        <v>41430</v>
      </c>
    </row>
    <row r="62" spans="2:14" x14ac:dyDescent="0.2">
      <c r="B62" t="s">
        <v>65</v>
      </c>
      <c r="C62" s="57">
        <v>100</v>
      </c>
      <c r="D62" s="57">
        <v>100</v>
      </c>
      <c r="E62" s="57">
        <v>100</v>
      </c>
      <c r="F62" s="57">
        <v>100</v>
      </c>
      <c r="G62" s="57">
        <v>100</v>
      </c>
      <c r="H62" s="57">
        <v>100</v>
      </c>
      <c r="I62" s="57">
        <v>100</v>
      </c>
      <c r="J62" s="57">
        <v>100</v>
      </c>
      <c r="K62" s="57">
        <v>100</v>
      </c>
      <c r="L62" s="57">
        <v>100</v>
      </c>
      <c r="M62" s="57">
        <v>100</v>
      </c>
      <c r="N62" s="57">
        <v>100</v>
      </c>
    </row>
    <row r="63" spans="2:14" x14ac:dyDescent="0.2">
      <c r="B63" t="s">
        <v>187</v>
      </c>
      <c r="C63" s="57">
        <v>120</v>
      </c>
      <c r="D63" s="57">
        <v>120</v>
      </c>
      <c r="E63" s="57">
        <v>120</v>
      </c>
      <c r="F63" s="57">
        <v>120</v>
      </c>
      <c r="G63" s="57">
        <v>120</v>
      </c>
      <c r="H63" s="57">
        <v>120</v>
      </c>
      <c r="I63" s="57">
        <v>120</v>
      </c>
      <c r="J63" s="57">
        <v>120</v>
      </c>
      <c r="K63" s="57">
        <v>120</v>
      </c>
      <c r="L63" s="57">
        <v>120</v>
      </c>
      <c r="M63" s="57">
        <v>120</v>
      </c>
      <c r="N63" s="57">
        <v>120</v>
      </c>
    </row>
    <row r="64" spans="2:14" x14ac:dyDescent="0.2">
      <c r="B64" t="s">
        <v>66</v>
      </c>
      <c r="C64" s="57">
        <f t="shared" ref="C64:N64" si="28">C40</f>
        <v>110</v>
      </c>
      <c r="D64" s="57">
        <f t="shared" si="28"/>
        <v>110</v>
      </c>
      <c r="E64" s="57">
        <f t="shared" si="28"/>
        <v>110</v>
      </c>
      <c r="F64" s="57">
        <f t="shared" si="28"/>
        <v>110</v>
      </c>
      <c r="G64" s="57">
        <f t="shared" si="28"/>
        <v>110</v>
      </c>
      <c r="H64" s="57">
        <f t="shared" si="28"/>
        <v>110</v>
      </c>
      <c r="I64" s="57">
        <f t="shared" si="28"/>
        <v>110</v>
      </c>
      <c r="J64" s="57">
        <f t="shared" si="28"/>
        <v>110</v>
      </c>
      <c r="K64" s="57">
        <f t="shared" si="28"/>
        <v>110</v>
      </c>
      <c r="L64" s="57">
        <f t="shared" si="28"/>
        <v>110</v>
      </c>
      <c r="M64" s="57">
        <f t="shared" si="28"/>
        <v>110</v>
      </c>
      <c r="N64" s="57">
        <f t="shared" si="28"/>
        <v>110</v>
      </c>
    </row>
    <row r="65" spans="2:14" x14ac:dyDescent="0.2">
      <c r="B65" t="s">
        <v>67</v>
      </c>
      <c r="C65" s="57">
        <f>C64</f>
        <v>110</v>
      </c>
      <c r="D65" s="57">
        <f t="shared" ref="D65:N65" si="29">D64</f>
        <v>110</v>
      </c>
      <c r="E65" s="57">
        <f t="shared" si="29"/>
        <v>110</v>
      </c>
      <c r="F65" s="57">
        <f t="shared" si="29"/>
        <v>110</v>
      </c>
      <c r="G65" s="57">
        <f t="shared" si="29"/>
        <v>110</v>
      </c>
      <c r="H65" s="57">
        <f t="shared" si="29"/>
        <v>110</v>
      </c>
      <c r="I65" s="57">
        <f t="shared" si="29"/>
        <v>110</v>
      </c>
      <c r="J65" s="57">
        <f t="shared" si="29"/>
        <v>110</v>
      </c>
      <c r="K65" s="57">
        <f t="shared" si="29"/>
        <v>110</v>
      </c>
      <c r="L65" s="57">
        <f t="shared" si="29"/>
        <v>110</v>
      </c>
      <c r="M65" s="57">
        <f t="shared" si="29"/>
        <v>110</v>
      </c>
      <c r="N65" s="57">
        <f t="shared" si="29"/>
        <v>110</v>
      </c>
    </row>
    <row r="66" spans="2:14" x14ac:dyDescent="0.2">
      <c r="B66" t="s">
        <v>143</v>
      </c>
      <c r="C66" s="55">
        <v>0.05</v>
      </c>
      <c r="D66" s="55">
        <v>0.05</v>
      </c>
      <c r="E66" s="55">
        <v>0.05</v>
      </c>
      <c r="F66" s="55">
        <v>0.05</v>
      </c>
      <c r="G66" s="55">
        <v>0.05</v>
      </c>
      <c r="H66" s="55">
        <v>0.05</v>
      </c>
      <c r="I66" s="55">
        <v>0.05</v>
      </c>
      <c r="J66" s="55">
        <v>0.05</v>
      </c>
      <c r="K66" s="55">
        <v>0.05</v>
      </c>
      <c r="L66" s="55">
        <v>0.05</v>
      </c>
      <c r="M66" s="55">
        <v>0.05</v>
      </c>
      <c r="N66" s="55">
        <v>0.05</v>
      </c>
    </row>
    <row r="67" spans="2:14" x14ac:dyDescent="0.2">
      <c r="B67" t="s">
        <v>144</v>
      </c>
      <c r="C67" t="s">
        <v>53</v>
      </c>
      <c r="D67" t="s">
        <v>53</v>
      </c>
      <c r="E67" t="s">
        <v>53</v>
      </c>
      <c r="F67" t="s">
        <v>53</v>
      </c>
      <c r="G67" t="s">
        <v>53</v>
      </c>
      <c r="H67" t="s">
        <v>53</v>
      </c>
      <c r="I67" t="s">
        <v>53</v>
      </c>
      <c r="J67" t="s">
        <v>53</v>
      </c>
      <c r="K67" t="s">
        <v>53</v>
      </c>
      <c r="L67" t="s">
        <v>53</v>
      </c>
      <c r="M67" t="s">
        <v>53</v>
      </c>
      <c r="N67" t="s">
        <v>53</v>
      </c>
    </row>
    <row r="68" spans="2:14" x14ac:dyDescent="0.2">
      <c r="B68" t="s">
        <v>145</v>
      </c>
      <c r="C68" s="54">
        <f>RKO!L8</f>
        <v>0.1</v>
      </c>
      <c r="D68" s="54">
        <f>C68</f>
        <v>0.1</v>
      </c>
      <c r="E68" s="54">
        <f t="shared" ref="E68:N68" si="30">D68</f>
        <v>0.1</v>
      </c>
      <c r="F68" s="54">
        <f t="shared" si="30"/>
        <v>0.1</v>
      </c>
      <c r="G68" s="54">
        <f t="shared" si="30"/>
        <v>0.1</v>
      </c>
      <c r="H68" s="54">
        <f t="shared" si="30"/>
        <v>0.1</v>
      </c>
      <c r="I68" s="54">
        <f t="shared" si="30"/>
        <v>0.1</v>
      </c>
      <c r="J68" s="54">
        <f t="shared" si="30"/>
        <v>0.1</v>
      </c>
      <c r="K68" s="54">
        <f t="shared" si="30"/>
        <v>0.1</v>
      </c>
      <c r="L68" s="54">
        <f t="shared" si="30"/>
        <v>0.1</v>
      </c>
      <c r="M68" s="54">
        <f t="shared" si="30"/>
        <v>0.1</v>
      </c>
      <c r="N68" s="54">
        <f t="shared" si="30"/>
        <v>0.1</v>
      </c>
    </row>
    <row r="69" spans="2:14" x14ac:dyDescent="0.2">
      <c r="B69" t="s">
        <v>146</v>
      </c>
      <c r="C69" t="s">
        <v>138</v>
      </c>
      <c r="D69" t="s">
        <v>138</v>
      </c>
      <c r="E69" t="s">
        <v>138</v>
      </c>
      <c r="F69" t="s">
        <v>138</v>
      </c>
      <c r="G69" t="s">
        <v>138</v>
      </c>
      <c r="H69" t="s">
        <v>138</v>
      </c>
      <c r="I69" t="s">
        <v>138</v>
      </c>
      <c r="J69" t="s">
        <v>138</v>
      </c>
      <c r="K69" t="s">
        <v>138</v>
      </c>
      <c r="L69" t="s">
        <v>138</v>
      </c>
      <c r="M69" t="s">
        <v>138</v>
      </c>
      <c r="N69" t="s">
        <v>138</v>
      </c>
    </row>
    <row r="70" spans="2:14" x14ac:dyDescent="0.2">
      <c r="B70" t="s">
        <v>147</v>
      </c>
      <c r="C70" t="s">
        <v>159</v>
      </c>
      <c r="D70" t="s">
        <v>159</v>
      </c>
      <c r="E70" t="s">
        <v>159</v>
      </c>
      <c r="F70" t="s">
        <v>159</v>
      </c>
      <c r="G70" t="s">
        <v>159</v>
      </c>
      <c r="H70" t="s">
        <v>159</v>
      </c>
      <c r="I70" t="s">
        <v>159</v>
      </c>
      <c r="J70" t="s">
        <v>159</v>
      </c>
      <c r="K70" t="s">
        <v>159</v>
      </c>
      <c r="L70" t="s">
        <v>159</v>
      </c>
      <c r="M70" t="s">
        <v>159</v>
      </c>
      <c r="N70" t="s">
        <v>159</v>
      </c>
    </row>
    <row r="71" spans="2:14" x14ac:dyDescent="0.2">
      <c r="B71" t="s">
        <v>138</v>
      </c>
      <c r="C71" s="58">
        <f t="shared" ref="C71:N71" si="31">KnockOut(C58,C59,C60,C61,C62,C64,C65,C66,C67,C68,C63,C57,$B71,C70)</f>
        <v>0.28373040506728453</v>
      </c>
      <c r="D71" s="58">
        <f t="shared" si="31"/>
        <v>0.28373040506728453</v>
      </c>
      <c r="E71" s="58">
        <f t="shared" si="31"/>
        <v>0.28373040506728453</v>
      </c>
      <c r="F71" s="58">
        <f t="shared" si="31"/>
        <v>0.28373040506728453</v>
      </c>
      <c r="G71" s="58">
        <f t="shared" si="31"/>
        <v>0.28373040506728453</v>
      </c>
      <c r="H71" s="58">
        <f t="shared" si="31"/>
        <v>0.28373040506728453</v>
      </c>
      <c r="I71" s="58">
        <f t="shared" si="31"/>
        <v>0.28373040506728453</v>
      </c>
      <c r="J71" s="58">
        <f t="shared" si="31"/>
        <v>0.28373040506728453</v>
      </c>
      <c r="K71" s="58">
        <f t="shared" si="31"/>
        <v>0.28373040506728453</v>
      </c>
      <c r="L71" s="58">
        <f t="shared" si="31"/>
        <v>0.28373040506728453</v>
      </c>
      <c r="M71" s="58">
        <f t="shared" si="31"/>
        <v>0.28373040506728453</v>
      </c>
      <c r="N71" s="58">
        <f t="shared" si="31"/>
        <v>0.28373040506728453</v>
      </c>
    </row>
    <row r="72" spans="2:14" x14ac:dyDescent="0.2">
      <c r="B72" t="s">
        <v>158</v>
      </c>
      <c r="C72" s="58">
        <f t="shared" ref="C72:N72" si="32">KnockOut(C58,C59,C60,C61,C62,C64,C65,C66,C67,C68,C63,C57,$B72,C70)</f>
        <v>-4.8820098249938385E-3</v>
      </c>
      <c r="D72" s="58">
        <f t="shared" si="32"/>
        <v>-4.8820098249938385E-3</v>
      </c>
      <c r="E72" s="58">
        <f t="shared" si="32"/>
        <v>-4.8820098249938385E-3</v>
      </c>
      <c r="F72" s="58">
        <f t="shared" si="32"/>
        <v>-4.8820098249938385E-3</v>
      </c>
      <c r="G72" s="58">
        <f t="shared" si="32"/>
        <v>-4.8820098249938385E-3</v>
      </c>
      <c r="H72" s="82">
        <f t="shared" si="32"/>
        <v>-4.8820098249938385E-3</v>
      </c>
      <c r="I72" s="58">
        <f t="shared" si="32"/>
        <v>-4.8820098249938385E-3</v>
      </c>
      <c r="J72" s="58">
        <f t="shared" si="32"/>
        <v>-4.8820098249938385E-3</v>
      </c>
      <c r="K72" s="58">
        <f t="shared" si="32"/>
        <v>-4.8820098249938385E-3</v>
      </c>
      <c r="L72" s="58">
        <f t="shared" si="32"/>
        <v>-4.8820098249938385E-3</v>
      </c>
      <c r="M72" s="58">
        <f t="shared" si="32"/>
        <v>-4.8820098249938385E-3</v>
      </c>
      <c r="N72" s="58">
        <f t="shared" si="32"/>
        <v>-4.8820098249938385E-3</v>
      </c>
    </row>
    <row r="73" spans="2:14" x14ac:dyDescent="0.2">
      <c r="B73" t="s">
        <v>137</v>
      </c>
      <c r="C73" s="58">
        <f t="shared" ref="C73:N73" si="33">KnockOut(C58,C59,C60,C61,C62,C64,C65,C66,C67,C68,C63,C57,$B73,C70)</f>
        <v>7.6594708541123074E-2</v>
      </c>
      <c r="D73" s="58">
        <f t="shared" si="33"/>
        <v>7.6594708541123074E-2</v>
      </c>
      <c r="E73" s="58">
        <f t="shared" si="33"/>
        <v>7.6594708541123074E-2</v>
      </c>
      <c r="F73" s="58">
        <f t="shared" si="33"/>
        <v>7.6594708541123074E-2</v>
      </c>
      <c r="G73" s="58">
        <f t="shared" si="33"/>
        <v>7.6594708541123074E-2</v>
      </c>
      <c r="H73" s="58">
        <f t="shared" si="33"/>
        <v>7.6594708541123074E-2</v>
      </c>
      <c r="I73" s="58">
        <f t="shared" si="33"/>
        <v>7.6594708541123074E-2</v>
      </c>
      <c r="J73" s="58">
        <f t="shared" si="33"/>
        <v>7.6594708541123074E-2</v>
      </c>
      <c r="K73" s="58">
        <f t="shared" si="33"/>
        <v>7.6594708541123074E-2</v>
      </c>
      <c r="L73" s="58">
        <f t="shared" si="33"/>
        <v>7.6594708541123074E-2</v>
      </c>
      <c r="M73" s="58">
        <f t="shared" si="33"/>
        <v>7.6594708541123074E-2</v>
      </c>
      <c r="N73" s="58">
        <f t="shared" si="33"/>
        <v>7.6594708541123074E-2</v>
      </c>
    </row>
    <row r="74" spans="2:14" x14ac:dyDescent="0.2">
      <c r="B74" s="65">
        <f>RKO!G23</f>
        <v>100000000</v>
      </c>
      <c r="C74" s="69">
        <f t="shared" ref="C74:N74" si="34">C71*$B74</f>
        <v>28373040.506728452</v>
      </c>
      <c r="D74" s="69">
        <f t="shared" si="34"/>
        <v>28373040.506728452</v>
      </c>
      <c r="E74" s="69">
        <f t="shared" si="34"/>
        <v>28373040.506728452</v>
      </c>
      <c r="F74" s="69">
        <f t="shared" si="34"/>
        <v>28373040.506728452</v>
      </c>
      <c r="G74" s="69">
        <f t="shared" si="34"/>
        <v>28373040.506728452</v>
      </c>
      <c r="H74" s="69">
        <f t="shared" si="34"/>
        <v>28373040.506728452</v>
      </c>
      <c r="I74" s="69">
        <f t="shared" si="34"/>
        <v>28373040.506728452</v>
      </c>
      <c r="J74" s="69">
        <f t="shared" si="34"/>
        <v>28373040.506728452</v>
      </c>
      <c r="K74" s="69">
        <f t="shared" si="34"/>
        <v>28373040.506728452</v>
      </c>
      <c r="L74" s="69">
        <f t="shared" si="34"/>
        <v>28373040.506728452</v>
      </c>
      <c r="M74" s="69">
        <f t="shared" si="34"/>
        <v>28373040.506728452</v>
      </c>
      <c r="N74" s="69">
        <f t="shared" si="34"/>
        <v>28373040.506728452</v>
      </c>
    </row>
    <row r="75" spans="2:14" x14ac:dyDescent="0.2">
      <c r="B75" t="s">
        <v>223</v>
      </c>
      <c r="C75" s="69">
        <f t="shared" ref="C75:N75" si="35">C72*$B74</f>
        <v>-488200.98249938386</v>
      </c>
      <c r="D75" s="69">
        <f t="shared" si="35"/>
        <v>-488200.98249938386</v>
      </c>
      <c r="E75" s="69">
        <f t="shared" si="35"/>
        <v>-488200.98249938386</v>
      </c>
      <c r="F75" s="69">
        <f t="shared" si="35"/>
        <v>-488200.98249938386</v>
      </c>
      <c r="G75" s="69">
        <f t="shared" si="35"/>
        <v>-488200.98249938386</v>
      </c>
      <c r="H75" s="69">
        <f t="shared" si="35"/>
        <v>-488200.98249938386</v>
      </c>
      <c r="I75" s="69">
        <f t="shared" si="35"/>
        <v>-488200.98249938386</v>
      </c>
      <c r="J75" s="69">
        <f t="shared" si="35"/>
        <v>-488200.98249938386</v>
      </c>
      <c r="K75" s="69">
        <f t="shared" si="35"/>
        <v>-488200.98249938386</v>
      </c>
      <c r="L75" s="69">
        <f t="shared" si="35"/>
        <v>-488200.98249938386</v>
      </c>
      <c r="M75" s="69">
        <f t="shared" si="35"/>
        <v>-488200.98249938386</v>
      </c>
      <c r="N75" s="69">
        <f t="shared" si="35"/>
        <v>-488200.98249938386</v>
      </c>
    </row>
    <row r="79" spans="2:14" x14ac:dyDescent="0.2">
      <c r="B79" t="s">
        <v>194</v>
      </c>
      <c r="C79" s="69">
        <f t="shared" ref="C79:N79" si="36">C75+C53</f>
        <v>-24385.467737192754</v>
      </c>
      <c r="D79" s="69">
        <f t="shared" si="36"/>
        <v>-14551.862088270485</v>
      </c>
      <c r="E79" s="69">
        <f t="shared" si="36"/>
        <v>-5183.7461126691196</v>
      </c>
      <c r="F79" s="69">
        <f t="shared" si="36"/>
        <v>3746.0524550712435</v>
      </c>
      <c r="G79" s="69">
        <f t="shared" si="36"/>
        <v>12262.910243584658</v>
      </c>
      <c r="H79" s="69">
        <f t="shared" si="36"/>
        <v>20390.530229080468</v>
      </c>
      <c r="I79" s="69">
        <f t="shared" si="36"/>
        <v>28151.056834324845</v>
      </c>
      <c r="J79" s="69">
        <f t="shared" si="36"/>
        <v>35565.184087194153</v>
      </c>
      <c r="K79" s="69">
        <f t="shared" si="36"/>
        <v>42652.25692424539</v>
      </c>
      <c r="L79" s="69">
        <f t="shared" si="36"/>
        <v>49430.365823769593</v>
      </c>
      <c r="M79" s="69">
        <f t="shared" si="36"/>
        <v>55916.435020359699</v>
      </c>
      <c r="N79" s="69">
        <f t="shared" si="36"/>
        <v>62126.304596846807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vanilla</vt:lpstr>
      <vt:lpstr>volga example</vt:lpstr>
      <vt:lpstr>Sheet1</vt:lpstr>
      <vt:lpstr>ExoticsPricer - DNT</vt:lpstr>
      <vt:lpstr>ReutersMktData</vt:lpstr>
      <vt:lpstr>RKO</vt:lpstr>
      <vt:lpstr>hedged_RKO_centered</vt:lpstr>
      <vt:lpstr>hedged_RKO_broad</vt:lpstr>
      <vt:lpstr>BF</vt:lpstr>
      <vt:lpstr>RR</vt:lpstr>
      <vt:lpstr>RKO_RR</vt:lpstr>
      <vt:lpstr>RKO_BF</vt:lpstr>
      <vt:lpstr>here</vt:lpstr>
      <vt:lpstr>CurrencyTable</vt:lpstr>
      <vt:lpstr>optionTable</vt:lpstr>
    </vt:vector>
  </TitlesOfParts>
  <Company>AIG Trading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ehayes</dc:creator>
  <cp:lastModifiedBy>Ed</cp:lastModifiedBy>
  <dcterms:created xsi:type="dcterms:W3CDTF">2003-02-10T14:39:57Z</dcterms:created>
  <dcterms:modified xsi:type="dcterms:W3CDTF">2021-05-07T06:12:44Z</dcterms:modified>
</cp:coreProperties>
</file>